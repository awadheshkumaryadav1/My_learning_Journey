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F94B2481-A04A-4474-86F2-6194A4A66687}" xr6:coauthVersionLast="36" xr6:coauthVersionMax="36" xr10:uidLastSave="{00000000-0000-0000-0000-000000000000}"/>
  <bookViews>
    <workbookView xWindow="0" yWindow="0" windowWidth="11268" windowHeight="5556" firstSheet="2" activeTab="3" xr2:uid="{DB06DC9A-B579-4E0B-B37C-58765F760F3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Sheet4!$A$1:$B$16</definedName>
    <definedName name="_xlnm.Extract" localSheetId="4">Sheet5!$A$1:$D$1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D3" i="3" l="1"/>
  <c r="D4" i="3"/>
  <c r="D5" i="3"/>
  <c r="D6" i="3"/>
  <c r="D7" i="3"/>
  <c r="D2" i="3"/>
  <c r="E3" i="2"/>
  <c r="E4" i="2"/>
  <c r="E5" i="2"/>
  <c r="E6" i="2"/>
  <c r="E2" i="2"/>
  <c r="K3" i="1" l="1"/>
  <c r="K4" i="1"/>
  <c r="L4" i="1" s="1"/>
  <c r="K5" i="1"/>
  <c r="L5" i="1" s="1"/>
  <c r="K6" i="1"/>
  <c r="K2" i="1"/>
  <c r="L2" i="1" s="1"/>
  <c r="J6" i="1"/>
  <c r="J3" i="1"/>
  <c r="J4" i="1"/>
  <c r="J5" i="1"/>
  <c r="J2" i="1"/>
  <c r="G2" i="1"/>
  <c r="H3" i="1"/>
  <c r="H5" i="1"/>
  <c r="H6" i="1"/>
  <c r="H2" i="1"/>
  <c r="G3" i="1"/>
  <c r="G4" i="1"/>
  <c r="G5" i="1"/>
  <c r="G6" i="1"/>
  <c r="L3" i="1" l="1"/>
  <c r="L6" i="1"/>
  <c r="F4" i="1"/>
  <c r="F3" i="1"/>
  <c r="F6" i="1"/>
  <c r="F5" i="1"/>
  <c r="F2" i="1"/>
</calcChain>
</file>

<file path=xl/sharedStrings.xml><?xml version="1.0" encoding="utf-8"?>
<sst xmlns="http://schemas.openxmlformats.org/spreadsheetml/2006/main" count="75" uniqueCount="50">
  <si>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</si>
  <si>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</si>
  <si>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</si>
  <si>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</si>
  <si>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</si>
  <si>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</si>
  <si>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</si>
  <si>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</si>
  <si>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</si>
  <si>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</si>
  <si>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</si>
  <si>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</si>
  <si>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</si>
  <si>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</si>
  <si>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</si>
  <si>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Sr.No.</t>
  </si>
  <si>
    <t>Emp Name</t>
  </si>
  <si>
    <t>Days</t>
  </si>
  <si>
    <t>Performance/10</t>
  </si>
  <si>
    <t>Promotion:yes/No</t>
  </si>
  <si>
    <t>Grade</t>
  </si>
  <si>
    <t>S.No.</t>
  </si>
  <si>
    <t>Customer</t>
  </si>
  <si>
    <t>Quantity order</t>
  </si>
  <si>
    <t>Discount%</t>
  </si>
  <si>
    <t>Anil</t>
  </si>
  <si>
    <t>Uday</t>
  </si>
  <si>
    <t>Pappu</t>
  </si>
  <si>
    <t>Awadhesh</t>
  </si>
  <si>
    <t>Suhani</t>
  </si>
  <si>
    <t>Radha</t>
  </si>
  <si>
    <t xml:space="preserve"> </t>
  </si>
  <si>
    <t>SrNo.</t>
  </si>
  <si>
    <t>NAME</t>
  </si>
  <si>
    <t>WDW</t>
  </si>
  <si>
    <t>DSAD</t>
  </si>
  <si>
    <t>DSD</t>
  </si>
  <si>
    <t>SDS</t>
  </si>
  <si>
    <t>EDED</t>
  </si>
  <si>
    <t>EDEWD</t>
  </si>
  <si>
    <t>DEFEWDEW</t>
  </si>
  <si>
    <t>EFWEDFWE</t>
  </si>
  <si>
    <t>WEDWFW</t>
  </si>
  <si>
    <t>EWEWDEWF</t>
  </si>
  <si>
    <t>dep</t>
  </si>
  <si>
    <t>cse</t>
  </si>
  <si>
    <t>bs</t>
  </si>
  <si>
    <t>d</t>
  </si>
  <si>
    <t>f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</si>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</sst>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L9"/>
  <sheetViews>
    <sheetView zoomScale="97" zoomScaleNormal="206" workbookViewId="0">
      <selection activeCell="E13" sqref="E13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  <c r="K1" s="5" t="s">
        <v>14</v>
      </c>
      <c r="L1" s="1" t="s">
        <v>20</v>
      </c>
    </row>
    <row r="2" spans="1:12" x14ac:dyDescent="0.3">
      <c r="A2" s="2">
        <v>1</v>
      </c>
      <c r="B2" s="2" t="s">
        <v>5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  <c r="K2" t="str">
        <f>IF(AND(C2&gt;=30,D2&gt;=30,E2&gt;=30),"Pass","Fail")</f>
        <v>Fail</v>
      </c>
      <c r="L2" t="str">
        <f>IF(K2="Fail","Fail",IF(J2&gt;=90,"A++",IF(J2&gt;=80,"A",IF(J2&gt;=70,"B++",IF(J2&gt;=60,"B",IF(J2&gt;=50,"c++",IF(J2&gt;=40,"c",IF(J2&gt;=30,"D++","Fail"))))))))</f>
        <v>Fail</v>
      </c>
    </row>
    <row r="3" spans="1:12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6" si="0">MAX(C3:E3)</f>
        <v>99</v>
      </c>
      <c r="H3" s="7">
        <f t="shared" ref="H3:H6" si="1">MIN(C3:E3)</f>
        <v>53</v>
      </c>
      <c r="I3" s="8">
        <f t="shared" ref="I3:I6" si="2">AVERAGE(C3:E3)</f>
        <v>71.666666666666671</v>
      </c>
      <c r="J3">
        <f>SUM(C3:E3)/3</f>
        <v>71.666666666666671</v>
      </c>
      <c r="K3" t="str">
        <f>IF(AND(C3&gt;=30,D3&gt;=30,E3&gt;=30),"Pass","Fail")</f>
        <v>Pass</v>
      </c>
      <c r="L3" t="str">
        <f t="shared" ref="L3:L6" si="3">IF(K3="Fail","Fail",IF(J3&gt;=90,"A++",IF(J3&gt;=80,"A",IF(J3&gt;=70,"B++",IF(J3&gt;=60,"B",IF(J3&gt;=50,"c++",IF(J3&gt;=40,"c",IF(J3&gt;=30,"D++","Fail"))))))))</f>
        <v>B++</v>
      </c>
    </row>
    <row r="4" spans="1:12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 t="s">
        <v>5</v>
      </c>
      <c r="I4" s="8">
        <f t="shared" si="2"/>
        <v>16.333333333333332</v>
      </c>
      <c r="J4">
        <f>SUM(C4:E4)/3</f>
        <v>16.333333333333332</v>
      </c>
      <c r="K4" t="str">
        <f>IF(AND(C4&gt;=30,D4&gt;=30,E4&gt;=30),"Pass","Fail")</f>
        <v>Fail</v>
      </c>
      <c r="L4" t="str">
        <f t="shared" si="3"/>
        <v>Fail</v>
      </c>
    </row>
    <row r="5" spans="1:12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  <c r="K5" t="str">
        <f>IF(AND(C5&gt;=30,D5&gt;=30,E5&gt;=30),"Pass","Fail")</f>
        <v>Pass</v>
      </c>
      <c r="L5" t="str">
        <f t="shared" si="3"/>
        <v>c++</v>
      </c>
    </row>
    <row r="6" spans="1:12" x14ac:dyDescent="0.3">
      <c r="A6" s="2">
        <v>5</v>
      </c>
      <c r="B6" s="2" t="s">
        <v>5</v>
      </c>
      <c r="C6" s="2">
        <v>51</v>
      </c>
      <c r="D6" s="2">
        <v>95</v>
      </c>
      <c r="E6" s="2">
        <v>61</v>
      </c>
      <c r="F6" s="2">
        <f>C6+D6+E6</f>
        <v>207</v>
      </c>
      <c r="G6" s="6">
        <f t="shared" si="0"/>
        <v>95</v>
      </c>
      <c r="H6" s="7">
        <f t="shared" si="1"/>
        <v>51</v>
      </c>
      <c r="I6" s="8">
        <f t="shared" si="2"/>
        <v>69</v>
      </c>
      <c r="J6">
        <f>SUM(C6:E6)/3</f>
        <v>69</v>
      </c>
      <c r="K6" t="str">
        <f>IF(AND(C6&gt;=30,D6&gt;=30,E6&gt;=30),"Pass","Fail")</f>
        <v>Pass</v>
      </c>
      <c r="L6" t="str">
        <f t="shared" si="3"/>
        <v>B</v>
      </c>
    </row>
    <row r="8" spans="1:12" x14ac:dyDescent="0.3">
      <c r="D8" s="3"/>
    </row>
    <row r="9" spans="1:12" x14ac:dyDescent="0.3">
      <c r="K9" t="s">
        <v>31</v>
      </c>
    </row>
  </sheetData>
  <conditionalFormatting sqref="A2:L6">
    <cfRule type="expression" dxfId="13" priority="1">
      <formula>$B2="A"</formula>
    </cfRule>
    <cfRule type="expression" dxfId="12" priority="2">
      <formula>$B1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D1AE-551C-497A-B25B-11C0D8571608}">
  <dimension ref="A1:E6"/>
  <sheetViews>
    <sheetView workbookViewId="0">
      <selection activeCell="D18" sqref="D18"/>
    </sheetView>
  </sheetViews>
  <sheetFormatPr defaultRowHeight="14.4" x14ac:dyDescent="0.3"/>
  <cols>
    <col min="4" max="4" width="14.44140625" bestFit="1" customWidth="1"/>
    <col min="5" max="5" width="16.2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IF(AND(C2&gt;=130,D2&gt;=5),"yes","No")</f>
        <v>No</v>
      </c>
    </row>
    <row r="3" spans="1:5" x14ac:dyDescent="0.3">
      <c r="A3">
        <v>2</v>
      </c>
      <c r="B3" t="s">
        <v>6</v>
      </c>
      <c r="C3">
        <v>134</v>
      </c>
      <c r="D3">
        <v>5</v>
      </c>
      <c r="E3" t="str">
        <f t="shared" ref="E3:E6" si="0">IF(AND(C3&gt;=130,D3&gt;=5),"yes","No")</f>
        <v>yes</v>
      </c>
    </row>
    <row r="4" spans="1:5" x14ac:dyDescent="0.3">
      <c r="A4">
        <v>3</v>
      </c>
      <c r="B4" t="s">
        <v>7</v>
      </c>
      <c r="C4">
        <v>234</v>
      </c>
      <c r="D4">
        <v>6</v>
      </c>
      <c r="E4" t="str">
        <f t="shared" si="0"/>
        <v>yes</v>
      </c>
    </row>
    <row r="5" spans="1:5" x14ac:dyDescent="0.3">
      <c r="A5">
        <v>4</v>
      </c>
      <c r="B5" t="s">
        <v>8</v>
      </c>
      <c r="C5">
        <v>213</v>
      </c>
      <c r="D5">
        <v>7</v>
      </c>
      <c r="E5" t="str">
        <f t="shared" si="0"/>
        <v>yes</v>
      </c>
    </row>
    <row r="6" spans="1:5" x14ac:dyDescent="0.3">
      <c r="A6">
        <v>5</v>
      </c>
      <c r="B6" t="s">
        <v>9</v>
      </c>
      <c r="C6">
        <v>242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AECD-C1B4-4D97-8012-52BAD3723B90}">
  <dimension ref="A1:D9"/>
  <sheetViews>
    <sheetView workbookViewId="0">
      <selection activeCell="D18" sqref="D18"/>
    </sheetView>
  </sheetViews>
  <sheetFormatPr defaultRowHeight="14.4" x14ac:dyDescent="0.3"/>
  <cols>
    <col min="3" max="3" width="12.88671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  <c r="C2">
        <v>18</v>
      </c>
      <c r="D2" s="9">
        <f>_xlfn.IFS(C2&gt;=10,20%,C2&gt;=5,10%,C2&lt;5,0%)</f>
        <v>0.2</v>
      </c>
    </row>
    <row r="3" spans="1:4" x14ac:dyDescent="0.3">
      <c r="A3">
        <v>2</v>
      </c>
      <c r="B3" t="s">
        <v>26</v>
      </c>
      <c r="C3">
        <v>3</v>
      </c>
      <c r="D3" s="9">
        <f>_xlfn.IFS(C3&gt;=10,20%,C3&gt;=5,10%,C3&lt;5,0%)</f>
        <v>0</v>
      </c>
    </row>
    <row r="4" spans="1:4" x14ac:dyDescent="0.3">
      <c r="A4">
        <v>3</v>
      </c>
      <c r="B4" t="s">
        <v>27</v>
      </c>
      <c r="C4">
        <v>11</v>
      </c>
      <c r="D4" s="9">
        <f>_xlfn.IFS(C4&gt;=10,20%,C4&gt;=5,10%,C4&lt;5,0%)</f>
        <v>0.2</v>
      </c>
    </row>
    <row r="5" spans="1:4" x14ac:dyDescent="0.3">
      <c r="A5">
        <v>4</v>
      </c>
      <c r="B5" t="s">
        <v>28</v>
      </c>
      <c r="C5">
        <v>18</v>
      </c>
      <c r="D5" s="9">
        <f>_xlfn.IFS(C5&gt;=10,20%,C5&gt;=5,10%,C5&lt;5,0%)</f>
        <v>0.2</v>
      </c>
    </row>
    <row r="6" spans="1:4" x14ac:dyDescent="0.3">
      <c r="A6">
        <v>5</v>
      </c>
      <c r="B6" t="s">
        <v>29</v>
      </c>
      <c r="C6">
        <v>7</v>
      </c>
      <c r="D6" s="9">
        <f>_xlfn.IFS(C6&gt;=10,20%,C6&gt;=5,10%,C6&lt;5,0%)</f>
        <v>0.1</v>
      </c>
    </row>
    <row r="7" spans="1:4" x14ac:dyDescent="0.3">
      <c r="A7">
        <v>6</v>
      </c>
      <c r="B7" t="s">
        <v>30</v>
      </c>
      <c r="C7">
        <v>18</v>
      </c>
      <c r="D7" s="9">
        <f>_xlfn.IFS(C7&gt;=10,20%,C7&gt;=5,10%,C7&lt;5,0%)</f>
        <v>0.2</v>
      </c>
    </row>
    <row r="8" spans="1:4" x14ac:dyDescent="0.3">
      <c r="D8" s="9"/>
    </row>
    <row r="9" spans="1:4" x14ac:dyDescent="0.3">
      <c r="D9" s="9"/>
    </row>
  </sheetData>
  <conditionalFormatting sqref="D2:D7">
    <cfRule type="cellIs" dxfId="11" priority="13" operator="greaterThan">
      <formula>0.1</formula>
    </cfRule>
  </conditionalFormatting>
  <conditionalFormatting sqref="C2:C7">
    <cfRule type="cellIs" dxfId="10" priority="12" operator="lessThan">
      <formula>10.5</formula>
    </cfRule>
  </conditionalFormatting>
  <conditionalFormatting sqref="B2:B7">
    <cfRule type="containsText" dxfId="9" priority="11" operator="containsText" text="awadhesh">
      <formula>NOT(ISERROR(SEARCH("awadhesh",B2)))</formula>
    </cfRule>
  </conditionalFormatting>
  <conditionalFormatting sqref="B7">
    <cfRule type="containsText" dxfId="8" priority="10" operator="containsText" text="Radha">
      <formula>NOT(ISERROR(SEARCH("Radha",B7)))</formula>
    </cfRule>
  </conditionalFormatting>
  <conditionalFormatting sqref="B8">
    <cfRule type="containsText" dxfId="7" priority="9" operator="containsText" text="awadhesh">
      <formula>NOT(ISERROR(SEARCH("awadhesh",B8)))</formula>
    </cfRule>
  </conditionalFormatting>
  <conditionalFormatting sqref="B8">
    <cfRule type="containsText" dxfId="6" priority="8" operator="containsText" text="Radha">
      <formula>NOT(ISERROR(SEARCH("Radha",B8)))</formula>
    </cfRule>
  </conditionalFormatting>
  <conditionalFormatting sqref="C8">
    <cfRule type="cellIs" dxfId="5" priority="7" operator="lessThan">
      <formula>10.5</formula>
    </cfRule>
  </conditionalFormatting>
  <conditionalFormatting sqref="D8">
    <cfRule type="cellIs" dxfId="4" priority="6" operator="greaterThan">
      <formula>0.1</formula>
    </cfRule>
  </conditionalFormatting>
  <conditionalFormatting sqref="B9">
    <cfRule type="containsText" dxfId="3" priority="5" operator="containsText" text="awadhesh">
      <formula>NOT(ISERROR(SEARCH("awadhesh",B9)))</formula>
    </cfRule>
  </conditionalFormatting>
  <conditionalFormatting sqref="B9">
    <cfRule type="containsText" dxfId="2" priority="4" operator="containsText" text="Radha">
      <formula>NOT(ISERROR(SEARCH("Radha",B9)))</formula>
    </cfRule>
  </conditionalFormatting>
  <conditionalFormatting sqref="C9">
    <cfRule type="cellIs" dxfId="1" priority="3" operator="lessThan">
      <formula>10.5</formula>
    </cfRule>
  </conditionalFormatting>
  <conditionalFormatting sqref="D9">
    <cfRule type="cellIs" dxfId="0" priority="2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422C-75E2-45B9-9E4A-D335CDD10711}">
  <dimension ref="A1:D16"/>
  <sheetViews>
    <sheetView tabSelected="1" workbookViewId="0">
      <selection activeCell="G12" sqref="G12"/>
    </sheetView>
  </sheetViews>
  <sheetFormatPr defaultRowHeight="14.4" x14ac:dyDescent="0.3"/>
  <cols>
    <col min="2" max="2" width="11.44140625" bestFit="1" customWidth="1"/>
  </cols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8</v>
      </c>
      <c r="B3" t="s">
        <v>34</v>
      </c>
      <c r="C3" t="s">
        <v>46</v>
      </c>
      <c r="D3">
        <v>2000</v>
      </c>
    </row>
    <row r="4" spans="1:4" x14ac:dyDescent="0.3">
      <c r="A4">
        <v>10</v>
      </c>
      <c r="B4" t="s">
        <v>37</v>
      </c>
      <c r="C4" t="s">
        <v>47</v>
      </c>
      <c r="D4">
        <v>22</v>
      </c>
    </row>
    <row r="5" spans="1:4" x14ac:dyDescent="0.3">
      <c r="A5">
        <v>13</v>
      </c>
      <c r="B5" t="s">
        <v>39</v>
      </c>
      <c r="C5" t="s">
        <v>48</v>
      </c>
      <c r="D5">
        <v>4324</v>
      </c>
    </row>
    <row r="6" spans="1:4" x14ac:dyDescent="0.3">
      <c r="A6">
        <v>15</v>
      </c>
      <c r="B6" t="s">
        <v>36</v>
      </c>
    </row>
    <row r="7" spans="1:4" x14ac:dyDescent="0.3">
      <c r="A7">
        <v>9</v>
      </c>
      <c r="B7" t="s">
        <v>34</v>
      </c>
      <c r="C7" t="s">
        <v>45</v>
      </c>
      <c r="D7">
        <v>2000</v>
      </c>
    </row>
    <row r="8" spans="1:4" x14ac:dyDescent="0.3">
      <c r="A8">
        <v>7</v>
      </c>
      <c r="B8" t="s">
        <v>34</v>
      </c>
      <c r="C8" t="s">
        <v>45</v>
      </c>
      <c r="D8">
        <v>3000</v>
      </c>
    </row>
    <row r="9" spans="1:4" x14ac:dyDescent="0.3">
      <c r="A9">
        <v>11</v>
      </c>
      <c r="B9" t="s">
        <v>43</v>
      </c>
      <c r="C9" t="s">
        <v>45</v>
      </c>
      <c r="D9">
        <v>2334</v>
      </c>
    </row>
    <row r="10" spans="1:4" x14ac:dyDescent="0.3">
      <c r="A10">
        <v>12</v>
      </c>
      <c r="B10" t="s">
        <v>41</v>
      </c>
      <c r="C10" t="s">
        <v>47</v>
      </c>
      <c r="D10">
        <v>23231243</v>
      </c>
    </row>
    <row r="11" spans="1:4" x14ac:dyDescent="0.3">
      <c r="A11">
        <v>14</v>
      </c>
      <c r="B11" t="s">
        <v>38</v>
      </c>
      <c r="C11" t="s">
        <v>48</v>
      </c>
      <c r="D11">
        <v>432423</v>
      </c>
    </row>
    <row r="12" spans="1:4" x14ac:dyDescent="0.3">
      <c r="A12">
        <v>17</v>
      </c>
      <c r="B12" t="s">
        <v>35</v>
      </c>
    </row>
    <row r="13" spans="1:4" x14ac:dyDescent="0.3">
      <c r="A13">
        <v>16</v>
      </c>
      <c r="B13" t="s">
        <v>35</v>
      </c>
    </row>
    <row r="14" spans="1:4" x14ac:dyDescent="0.3">
      <c r="A14">
        <v>18</v>
      </c>
      <c r="B14" t="s">
        <v>40</v>
      </c>
    </row>
    <row r="15" spans="1:4" x14ac:dyDescent="0.3">
      <c r="A15">
        <v>20</v>
      </c>
      <c r="B15" t="s">
        <v>8</v>
      </c>
    </row>
    <row r="16" spans="1:4" x14ac:dyDescent="0.3">
      <c r="A16">
        <v>19</v>
      </c>
      <c r="B16" t="s">
        <v>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ADDC-CD65-4789-8A03-BED4724C5D16}">
  <dimension ref="A1:D3"/>
  <sheetViews>
    <sheetView workbookViewId="0">
      <selection activeCell="C29" sqref="C29"/>
    </sheetView>
  </sheetViews>
  <sheetFormatPr defaultRowHeight="14.4" x14ac:dyDescent="0.3"/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9</v>
      </c>
      <c r="B3" t="s">
        <v>34</v>
      </c>
      <c r="C3" t="s">
        <v>45</v>
      </c>
      <c r="D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2026-08-31T18:44:46Z</dcterms:modified>
</cp:coreProperties>
</file>