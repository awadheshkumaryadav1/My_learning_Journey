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xcel\"/>
    </mc:Choice>
  </mc:AlternateContent>
  <xr:revisionPtr revIDLastSave="0" documentId="13_ncr:1_{6FC9B8A4-B5F1-4B88-B688-F5CDBB8658E9}" xr6:coauthVersionLast="36" xr6:coauthVersionMax="36" xr10:uidLastSave="{00000000-0000-0000-0000-000000000000}"/>
  <bookViews>
    <workbookView xWindow="0" yWindow="0" windowWidth="10848" windowHeight="8664" activeTab="1" xr2:uid="{BC188BE5-D5E4-4A6F-85E9-EC4A20B001C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00" i="2" l="1"/>
  <c r="O100" i="2"/>
  <c r="P100" i="2"/>
  <c r="Q100" i="2"/>
  <c r="R100" i="2"/>
  <c r="S100" i="2"/>
  <c r="T100" i="2"/>
  <c r="U100" i="2"/>
  <c r="V100" i="2"/>
  <c r="W100" i="2"/>
  <c r="X100" i="2"/>
  <c r="Y100" i="2"/>
  <c r="N101" i="2"/>
  <c r="O101" i="2"/>
  <c r="P101" i="2"/>
  <c r="Q101" i="2"/>
  <c r="R101" i="2"/>
  <c r="S101" i="2"/>
  <c r="T101" i="2"/>
  <c r="U101" i="2"/>
  <c r="V101" i="2"/>
  <c r="W101" i="2"/>
  <c r="X101" i="2"/>
  <c r="Y101" i="2"/>
  <c r="N102" i="2"/>
  <c r="O102" i="2"/>
  <c r="P102" i="2"/>
  <c r="Q102" i="2"/>
  <c r="R102" i="2"/>
  <c r="S102" i="2"/>
  <c r="T102" i="2"/>
  <c r="U102" i="2"/>
  <c r="V102" i="2"/>
  <c r="W102" i="2"/>
  <c r="X102" i="2"/>
  <c r="Y102" i="2"/>
  <c r="N103" i="2"/>
  <c r="O103" i="2"/>
  <c r="P103" i="2"/>
  <c r="Q103" i="2"/>
  <c r="R103" i="2"/>
  <c r="S103" i="2"/>
  <c r="T103" i="2"/>
  <c r="U103" i="2"/>
  <c r="V103" i="2"/>
  <c r="W103" i="2"/>
  <c r="X103" i="2"/>
  <c r="Y103" i="2"/>
  <c r="N104" i="2"/>
  <c r="O104" i="2"/>
  <c r="P104" i="2"/>
  <c r="Q104" i="2"/>
  <c r="R104" i="2"/>
  <c r="S104" i="2"/>
  <c r="T104" i="2"/>
  <c r="U104" i="2"/>
  <c r="V104" i="2"/>
  <c r="W104" i="2"/>
  <c r="X104" i="2"/>
  <c r="Y104" i="2"/>
  <c r="N105" i="2"/>
  <c r="O105" i="2"/>
  <c r="P105" i="2"/>
  <c r="Q105" i="2"/>
  <c r="R105" i="2"/>
  <c r="S105" i="2"/>
  <c r="T105" i="2"/>
  <c r="U105" i="2"/>
  <c r="V105" i="2"/>
  <c r="W105" i="2"/>
  <c r="X105" i="2"/>
  <c r="Y105" i="2"/>
  <c r="N106" i="2"/>
  <c r="O106" i="2"/>
  <c r="P106" i="2"/>
  <c r="Q106" i="2"/>
  <c r="R106" i="2"/>
  <c r="S106" i="2"/>
  <c r="T106" i="2"/>
  <c r="U106" i="2"/>
  <c r="V106" i="2"/>
  <c r="W106" i="2"/>
  <c r="X106" i="2"/>
  <c r="Y106" i="2"/>
  <c r="N107" i="2"/>
  <c r="O107" i="2"/>
  <c r="P107" i="2"/>
  <c r="Q107" i="2"/>
  <c r="R107" i="2"/>
  <c r="S107" i="2"/>
  <c r="T107" i="2"/>
  <c r="U107" i="2"/>
  <c r="V107" i="2"/>
  <c r="W107" i="2"/>
  <c r="X107" i="2"/>
  <c r="Y107" i="2"/>
  <c r="N108" i="2"/>
  <c r="O108" i="2"/>
  <c r="P108" i="2"/>
  <c r="Q108" i="2"/>
  <c r="R108" i="2"/>
  <c r="S108" i="2"/>
  <c r="T108" i="2"/>
  <c r="U108" i="2"/>
  <c r="V108" i="2"/>
  <c r="W108" i="2"/>
  <c r="X108" i="2"/>
  <c r="Y108" i="2"/>
  <c r="N109" i="2"/>
  <c r="O109" i="2"/>
  <c r="P109" i="2"/>
  <c r="Q109" i="2"/>
  <c r="R109" i="2"/>
  <c r="S109" i="2"/>
  <c r="T109" i="2"/>
  <c r="U109" i="2"/>
  <c r="V109" i="2"/>
  <c r="W109" i="2"/>
  <c r="X109" i="2"/>
  <c r="Y109" i="2"/>
  <c r="N110" i="2"/>
  <c r="O110" i="2"/>
  <c r="P110" i="2"/>
  <c r="Q110" i="2"/>
  <c r="R110" i="2"/>
  <c r="S110" i="2"/>
  <c r="T110" i="2"/>
  <c r="U110" i="2"/>
  <c r="V110" i="2"/>
  <c r="W110" i="2"/>
  <c r="X110" i="2"/>
  <c r="Y110" i="2"/>
  <c r="N111" i="2"/>
  <c r="O111" i="2"/>
  <c r="P111" i="2"/>
  <c r="Q111" i="2"/>
  <c r="R111" i="2"/>
  <c r="S111" i="2"/>
  <c r="T111" i="2"/>
  <c r="U111" i="2"/>
  <c r="V111" i="2"/>
  <c r="W111" i="2"/>
  <c r="X111" i="2"/>
  <c r="Y111" i="2"/>
  <c r="N112" i="2"/>
  <c r="O112" i="2"/>
  <c r="P112" i="2"/>
  <c r="Q112" i="2"/>
  <c r="R112" i="2"/>
  <c r="S112" i="2"/>
  <c r="T112" i="2"/>
  <c r="U112" i="2"/>
  <c r="V112" i="2"/>
  <c r="W112" i="2"/>
  <c r="X112" i="2"/>
  <c r="Y112" i="2"/>
  <c r="N113" i="2"/>
  <c r="O113" i="2"/>
  <c r="P113" i="2"/>
  <c r="Q113" i="2"/>
  <c r="R113" i="2"/>
  <c r="S113" i="2"/>
  <c r="T113" i="2"/>
  <c r="U113" i="2"/>
  <c r="V113" i="2"/>
  <c r="W113" i="2"/>
  <c r="X113" i="2"/>
  <c r="Y113" i="2"/>
  <c r="N114" i="2"/>
  <c r="O114" i="2"/>
  <c r="P114" i="2"/>
  <c r="Q114" i="2"/>
  <c r="R114" i="2"/>
  <c r="S114" i="2"/>
  <c r="T114" i="2"/>
  <c r="U114" i="2"/>
  <c r="V114" i="2"/>
  <c r="W114" i="2"/>
  <c r="X114" i="2"/>
  <c r="Y114" i="2"/>
  <c r="N115" i="2"/>
  <c r="O115" i="2"/>
  <c r="P115" i="2"/>
  <c r="Q115" i="2"/>
  <c r="R115" i="2"/>
  <c r="S115" i="2"/>
  <c r="T115" i="2"/>
  <c r="U115" i="2"/>
  <c r="V115" i="2"/>
  <c r="W115" i="2"/>
  <c r="X115" i="2"/>
  <c r="Y115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B64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B63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B62" i="2"/>
  <c r="Y51" i="2"/>
  <c r="X51" i="2"/>
  <c r="W51" i="2"/>
  <c r="Y50" i="2"/>
  <c r="X50" i="2"/>
  <c r="W50" i="2"/>
  <c r="Y49" i="2"/>
  <c r="X49" i="2"/>
  <c r="W49" i="2"/>
  <c r="Y48" i="2"/>
  <c r="X48" i="2"/>
  <c r="W48" i="2"/>
  <c r="Y47" i="2"/>
  <c r="X47" i="2"/>
  <c r="W47" i="2"/>
  <c r="Y46" i="2"/>
  <c r="X46" i="2"/>
  <c r="W46" i="2"/>
  <c r="Y45" i="2"/>
  <c r="X45" i="2"/>
  <c r="W45" i="2"/>
  <c r="Y44" i="2"/>
  <c r="X44" i="2"/>
  <c r="W44" i="2"/>
  <c r="Y43" i="2"/>
  <c r="X43" i="2"/>
  <c r="W43" i="2"/>
  <c r="Y42" i="2"/>
  <c r="X42" i="2"/>
  <c r="W42" i="2"/>
  <c r="Y41" i="2"/>
  <c r="X41" i="2"/>
  <c r="W41" i="2"/>
  <c r="Y40" i="2"/>
  <c r="X40" i="2"/>
  <c r="W40" i="2"/>
  <c r="Y39" i="2"/>
  <c r="X39" i="2"/>
  <c r="W39" i="2"/>
  <c r="Y38" i="2"/>
  <c r="X38" i="2"/>
  <c r="W38" i="2"/>
  <c r="Y37" i="2"/>
  <c r="X37" i="2"/>
  <c r="W37" i="2"/>
  <c r="L51" i="2"/>
  <c r="K51" i="2"/>
  <c r="J51" i="2"/>
  <c r="L50" i="2"/>
  <c r="K50" i="2"/>
  <c r="J50" i="2"/>
  <c r="L49" i="2"/>
  <c r="K49" i="2"/>
  <c r="J49" i="2"/>
  <c r="L48" i="2"/>
  <c r="K48" i="2"/>
  <c r="J48" i="2"/>
  <c r="L47" i="2"/>
  <c r="K47" i="2"/>
  <c r="J47" i="2"/>
  <c r="L46" i="2"/>
  <c r="K46" i="2"/>
  <c r="J46" i="2"/>
  <c r="L45" i="2"/>
  <c r="K45" i="2"/>
  <c r="J45" i="2"/>
  <c r="L44" i="2"/>
  <c r="K44" i="2"/>
  <c r="J44" i="2"/>
  <c r="L43" i="2"/>
  <c r="K43" i="2"/>
  <c r="J43" i="2"/>
  <c r="L42" i="2"/>
  <c r="K42" i="2"/>
  <c r="J42" i="2"/>
  <c r="L41" i="2"/>
  <c r="K41" i="2"/>
  <c r="J41" i="2"/>
  <c r="L40" i="2"/>
  <c r="K40" i="2"/>
  <c r="J40" i="2"/>
  <c r="L39" i="2"/>
  <c r="K39" i="2"/>
  <c r="J39" i="2"/>
  <c r="L38" i="2"/>
  <c r="K38" i="2"/>
  <c r="J38" i="2"/>
  <c r="L37" i="2"/>
  <c r="K37" i="2"/>
  <c r="J37" i="2"/>
  <c r="Y33" i="2"/>
  <c r="X33" i="2"/>
  <c r="W33" i="2"/>
  <c r="Y32" i="2"/>
  <c r="X32" i="2"/>
  <c r="W32" i="2"/>
  <c r="Y31" i="2"/>
  <c r="X31" i="2"/>
  <c r="W31" i="2"/>
  <c r="Y30" i="2"/>
  <c r="X30" i="2"/>
  <c r="W30" i="2"/>
  <c r="Y29" i="2"/>
  <c r="X29" i="2"/>
  <c r="W29" i="2"/>
  <c r="Y28" i="2"/>
  <c r="X28" i="2"/>
  <c r="W28" i="2"/>
  <c r="Y27" i="2"/>
  <c r="X27" i="2"/>
  <c r="W27" i="2"/>
  <c r="Y26" i="2"/>
  <c r="X26" i="2"/>
  <c r="W26" i="2"/>
  <c r="Y25" i="2"/>
  <c r="X25" i="2"/>
  <c r="W25" i="2"/>
  <c r="Y24" i="2"/>
  <c r="X24" i="2"/>
  <c r="W24" i="2"/>
  <c r="Y23" i="2"/>
  <c r="X23" i="2"/>
  <c r="W23" i="2"/>
  <c r="Y22" i="2"/>
  <c r="X22" i="2"/>
  <c r="W22" i="2"/>
  <c r="Y21" i="2"/>
  <c r="X21" i="2"/>
  <c r="W21" i="2"/>
  <c r="Y20" i="2"/>
  <c r="X20" i="2"/>
  <c r="W20" i="2"/>
  <c r="Y19" i="2"/>
  <c r="X19" i="2"/>
  <c r="W19" i="2"/>
  <c r="L33" i="2"/>
  <c r="K33" i="2"/>
  <c r="J33" i="2"/>
  <c r="L32" i="2"/>
  <c r="K32" i="2"/>
  <c r="J32" i="2"/>
  <c r="L31" i="2"/>
  <c r="K31" i="2"/>
  <c r="J31" i="2"/>
  <c r="L30" i="2"/>
  <c r="K30" i="2"/>
  <c r="J30" i="2"/>
  <c r="L29" i="2"/>
  <c r="K29" i="2"/>
  <c r="J29" i="2"/>
  <c r="L28" i="2"/>
  <c r="K28" i="2"/>
  <c r="J28" i="2"/>
  <c r="L27" i="2"/>
  <c r="K27" i="2"/>
  <c r="J27" i="2"/>
  <c r="L26" i="2"/>
  <c r="K26" i="2"/>
  <c r="J26" i="2"/>
  <c r="L25" i="2"/>
  <c r="K25" i="2"/>
  <c r="J25" i="2"/>
  <c r="L24" i="2"/>
  <c r="K24" i="2"/>
  <c r="J24" i="2"/>
  <c r="L23" i="2"/>
  <c r="K23" i="2"/>
  <c r="J23" i="2"/>
  <c r="L22" i="2"/>
  <c r="K22" i="2"/>
  <c r="J22" i="2"/>
  <c r="L21" i="2"/>
  <c r="K21" i="2"/>
  <c r="J21" i="2"/>
  <c r="L20" i="2"/>
  <c r="K20" i="2"/>
  <c r="J20" i="2"/>
  <c r="L19" i="2"/>
  <c r="K19" i="2"/>
  <c r="J19" i="2"/>
  <c r="Y16" i="2"/>
  <c r="X16" i="2"/>
  <c r="W16" i="2"/>
  <c r="Y15" i="2"/>
  <c r="X15" i="2"/>
  <c r="W15" i="2"/>
  <c r="Y14" i="2"/>
  <c r="X14" i="2"/>
  <c r="W14" i="2"/>
  <c r="Y13" i="2"/>
  <c r="X13" i="2"/>
  <c r="W13" i="2"/>
  <c r="Y12" i="2"/>
  <c r="X12" i="2"/>
  <c r="W12" i="2"/>
  <c r="Y11" i="2"/>
  <c r="X11" i="2"/>
  <c r="W11" i="2"/>
  <c r="Y10" i="2"/>
  <c r="X10" i="2"/>
  <c r="W10" i="2"/>
  <c r="Y9" i="2"/>
  <c r="X9" i="2"/>
  <c r="W9" i="2"/>
  <c r="Y8" i="2"/>
  <c r="X8" i="2"/>
  <c r="W8" i="2"/>
  <c r="Y7" i="2"/>
  <c r="X7" i="2"/>
  <c r="W7" i="2"/>
  <c r="Y6" i="2"/>
  <c r="X6" i="2"/>
  <c r="W6" i="2"/>
  <c r="Y5" i="2"/>
  <c r="X5" i="2"/>
  <c r="W5" i="2"/>
  <c r="Y4" i="2"/>
  <c r="X4" i="2"/>
  <c r="W4" i="2"/>
  <c r="Y3" i="2"/>
  <c r="X3" i="2"/>
  <c r="W3" i="2"/>
  <c r="Y2" i="2"/>
  <c r="X2" i="2"/>
  <c r="W2" i="2"/>
  <c r="L16" i="2"/>
  <c r="K16" i="2"/>
  <c r="J16" i="2"/>
  <c r="L15" i="2"/>
  <c r="K15" i="2"/>
  <c r="J15" i="2"/>
  <c r="L14" i="2"/>
  <c r="K14" i="2"/>
  <c r="J14" i="2"/>
  <c r="L13" i="2"/>
  <c r="K13" i="2"/>
  <c r="J13" i="2"/>
  <c r="L12" i="2"/>
  <c r="K12" i="2"/>
  <c r="J12" i="2"/>
  <c r="L11" i="2"/>
  <c r="K11" i="2"/>
  <c r="J11" i="2"/>
  <c r="L10" i="2"/>
  <c r="K10" i="2"/>
  <c r="J10" i="2"/>
  <c r="L9" i="2"/>
  <c r="K9" i="2"/>
  <c r="J9" i="2"/>
  <c r="L8" i="2"/>
  <c r="K8" i="2"/>
  <c r="J8" i="2"/>
  <c r="L7" i="2"/>
  <c r="K7" i="2"/>
  <c r="J7" i="2"/>
  <c r="L6" i="2"/>
  <c r="K6" i="2"/>
  <c r="J6" i="2"/>
  <c r="L5" i="2"/>
  <c r="K5" i="2"/>
  <c r="J5" i="2"/>
  <c r="L4" i="2"/>
  <c r="K4" i="2"/>
  <c r="J4" i="2"/>
  <c r="L3" i="2"/>
  <c r="K3" i="2"/>
  <c r="J3" i="2"/>
  <c r="L2" i="2"/>
  <c r="K2" i="2"/>
  <c r="J2" i="2"/>
  <c r="D21" i="1" l="1"/>
  <c r="K10" i="1"/>
  <c r="L16" i="1"/>
  <c r="K16" i="1"/>
  <c r="J16" i="1"/>
  <c r="L15" i="1"/>
  <c r="K15" i="1"/>
  <c r="J15" i="1"/>
  <c r="L14" i="1"/>
  <c r="K14" i="1"/>
  <c r="J14" i="1"/>
  <c r="L13" i="1"/>
  <c r="K13" i="1"/>
  <c r="J13" i="1"/>
  <c r="L12" i="1"/>
  <c r="K12" i="1"/>
  <c r="J12" i="1"/>
  <c r="L11" i="1"/>
  <c r="K11" i="1"/>
  <c r="J11" i="1"/>
  <c r="L10" i="1"/>
  <c r="J10" i="1"/>
  <c r="L9" i="1"/>
  <c r="K9" i="1"/>
  <c r="J9" i="1"/>
  <c r="L8" i="1"/>
  <c r="K8" i="1"/>
  <c r="J8" i="1"/>
  <c r="L7" i="1"/>
  <c r="K7" i="1"/>
  <c r="J7" i="1"/>
  <c r="L6" i="1"/>
  <c r="K6" i="1"/>
  <c r="J6" i="1"/>
  <c r="L5" i="1"/>
  <c r="K5" i="1"/>
  <c r="J5" i="1"/>
  <c r="L4" i="1"/>
  <c r="K4" i="1"/>
  <c r="J4" i="1"/>
  <c r="L3" i="1"/>
  <c r="K3" i="1"/>
  <c r="J3" i="1"/>
  <c r="L2" i="1"/>
  <c r="K2" i="1"/>
  <c r="J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B2" authorId="0" shapeId="0" xr:uid="{85B82B76-C29C-4751-9007-9684D2343927}">
      <text>
        <r>
          <rPr>
            <sz val="9"/>
            <color indexed="81"/>
            <rFont val="Tahoma"/>
            <charset val="1"/>
          </rPr>
          <t xml:space="preserve">best performance
</t>
        </r>
      </text>
    </comment>
    <comment ref="B3" authorId="0" shapeId="0" xr:uid="{CA2C02AD-4D92-47F9-A859-AD6A0F71FB46}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B2" authorId="0" shapeId="0" xr:uid="{107D2F3E-14C6-4B57-8032-F43968490F0C}">
      <text>
        <r>
          <rPr>
            <sz val="9"/>
            <color indexed="81"/>
            <rFont val="Tahoma"/>
            <charset val="1"/>
          </rPr>
          <t xml:space="preserve">best performance
</t>
        </r>
      </text>
    </comment>
    <comment ref="O2" authorId="0" shapeId="0" xr:uid="{E39506D3-A666-4AFA-A609-1FFF56BEB020}">
      <text>
        <r>
          <rPr>
            <sz val="9"/>
            <color indexed="81"/>
            <rFont val="Tahoma"/>
            <charset val="1"/>
          </rPr>
          <t xml:space="preserve">best performance
</t>
        </r>
      </text>
    </comment>
    <comment ref="B3" authorId="0" shapeId="0" xr:uid="{44A9057A-71AA-47B0-94E0-86F654929273}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O3" authorId="0" shapeId="0" xr:uid="{F4AD5ED6-BAA0-4B6F-8FE8-3F5759DCE005}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37" authorId="0" shapeId="0" xr:uid="{EF94C8F0-53FE-4B61-A1F7-902ECF17C8B4}">
      <text>
        <r>
          <rPr>
            <sz val="9"/>
            <color indexed="81"/>
            <rFont val="Tahoma"/>
            <charset val="1"/>
          </rPr>
          <t xml:space="preserve">best performance
</t>
        </r>
      </text>
    </comment>
    <comment ref="O37" authorId="0" shapeId="0" xr:uid="{87B9E653-7FB4-43B6-9903-F69901B8975D}">
      <text>
        <r>
          <rPr>
            <sz val="9"/>
            <color indexed="81"/>
            <rFont val="Tahoma"/>
            <charset val="1"/>
          </rPr>
          <t xml:space="preserve">best performance
</t>
        </r>
      </text>
    </comment>
    <comment ref="B38" authorId="0" shapeId="0" xr:uid="{4DD6D73F-DC8C-42CA-8914-67E32D31FA22}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O38" authorId="0" shapeId="0" xr:uid="{066D5B18-26AA-4DB9-A8CC-62E1E25501C7}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54" authorId="0" shapeId="0" xr:uid="{58966B5A-98C3-425C-B547-6D05363121AB}">
      <text>
        <r>
          <rPr>
            <sz val="9"/>
            <color indexed="81"/>
            <rFont val="Tahoma"/>
            <charset val="1"/>
          </rPr>
          <t xml:space="preserve">best performance
</t>
        </r>
      </text>
    </comment>
    <comment ref="C54" authorId="0" shapeId="0" xr:uid="{37A9E7FA-3EDA-433C-B825-DA9CF9362994}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O84" authorId="0" shapeId="0" xr:uid="{E6851C94-0F2D-4FA9-BDB1-052BF4EDBF7B}">
      <text>
        <r>
          <rPr>
            <sz val="9"/>
            <color indexed="81"/>
            <rFont val="Tahoma"/>
            <charset val="1"/>
          </rPr>
          <t xml:space="preserve">best performance
</t>
        </r>
      </text>
    </comment>
    <comment ref="O85" authorId="0" shapeId="0" xr:uid="{F8525CCC-7089-432D-8DA3-0F1FC1E3B105}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<sst xmlns="http://schemas.openxmlformats.org/spreadsheetml/2006/main" count="627" uniqueCount="38">
  <si>
    <t>Sr.No.</t>
  </si>
  <si>
    <t>Employee_Name</t>
  </si>
  <si>
    <t>Employee_Address</t>
  </si>
  <si>
    <t>Mob.No.</t>
  </si>
  <si>
    <t>Domain</t>
  </si>
  <si>
    <t>joining date</t>
  </si>
  <si>
    <t>ending date</t>
  </si>
  <si>
    <t>Attendence</t>
  </si>
  <si>
    <t>Total No working days</t>
  </si>
  <si>
    <t>salary</t>
  </si>
  <si>
    <t>leave</t>
  </si>
  <si>
    <t>bonus</t>
  </si>
  <si>
    <t>Awadhesh</t>
  </si>
  <si>
    <t>Bihar</t>
  </si>
  <si>
    <t>software engineer</t>
  </si>
  <si>
    <t>Radha</t>
  </si>
  <si>
    <t>Priyanka</t>
  </si>
  <si>
    <t>Nitu</t>
  </si>
  <si>
    <t>data engineer</t>
  </si>
  <si>
    <t>Pappu</t>
  </si>
  <si>
    <t>Patna</t>
  </si>
  <si>
    <t>uday</t>
  </si>
  <si>
    <t>Muz</t>
  </si>
  <si>
    <t>data analyst</t>
  </si>
  <si>
    <t>Anil</t>
  </si>
  <si>
    <t>Sanjana</t>
  </si>
  <si>
    <t>full stack</t>
  </si>
  <si>
    <t>Vishal</t>
  </si>
  <si>
    <t>Suhani</t>
  </si>
  <si>
    <t>Lalgang</t>
  </si>
  <si>
    <t>Parwati</t>
  </si>
  <si>
    <t>Turki</t>
  </si>
  <si>
    <t>Renu</t>
  </si>
  <si>
    <t>Luckhnow</t>
  </si>
  <si>
    <t>Meena</t>
  </si>
  <si>
    <t>Nandlal</t>
  </si>
  <si>
    <t>Anish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</si>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</sst>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2" xfId="0" applyBorder="1"/>
    <xf numFmtId="14" fontId="0" fillId="0" borderId="2" xfId="0" applyNumberFormat="1" applyBorder="1"/>
    <xf numFmtId="0" fontId="3" fillId="2" borderId="1" xfId="1" applyBorder="1"/>
    <xf numFmtId="0" fontId="3" fillId="2" borderId="2" xfId="1" applyBorder="1"/>
    <xf numFmtId="0" fontId="3" fillId="2" borderId="0" xfId="1" applyBorder="1"/>
    <xf numFmtId="0" fontId="0" fillId="0" borderId="0" xfId="0" applyBorder="1"/>
    <xf numFmtId="14" fontId="0" fillId="0" borderId="0" xfId="0" applyNumberFormat="1" applyBorder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117</xdr:row>
      <xdr:rowOff>0</xdr:rowOff>
    </xdr:from>
    <xdr:to>
      <xdr:col>12</xdr:col>
      <xdr:colOff>7620</xdr:colOff>
      <xdr:row>133</xdr:row>
      <xdr:rowOff>7620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15DCA17-7A3B-401F-944E-3C4C464B9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396960"/>
          <a:ext cx="9075420" cy="293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117</xdr:row>
          <xdr:rowOff>0</xdr:rowOff>
        </xdr:from>
        <xdr:to>
          <xdr:col>28</xdr:col>
          <xdr:colOff>160020</xdr:colOff>
          <xdr:row>133</xdr:row>
          <xdr:rowOff>7620</xdr:rowOff>
        </xdr:to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17369052-7C1F-4617-AF64-831B7D22089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:$L$16" spid="_x0000_s2072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9662160" y="21396960"/>
              <a:ext cx="9075420" cy="29337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C34F6-BF78-4645-80B5-1C33EC14D60D}">
  <dimension ref="A1:N31"/>
  <sheetViews>
    <sheetView workbookViewId="0">
      <selection activeCell="N13" sqref="N13"/>
    </sheetView>
  </sheetViews>
  <sheetFormatPr defaultRowHeight="14.4" x14ac:dyDescent="0.3"/>
  <cols>
    <col min="1" max="1" width="6.109375" bestFit="1" customWidth="1"/>
    <col min="2" max="2" width="15" bestFit="1" customWidth="1"/>
    <col min="3" max="3" width="16.44140625" bestFit="1" customWidth="1"/>
    <col min="4" max="4" width="11" bestFit="1" customWidth="1"/>
    <col min="5" max="5" width="15.88671875" bestFit="1" customWidth="1"/>
    <col min="6" max="7" width="10.44140625" bestFit="1" customWidth="1"/>
    <col min="8" max="8" width="10.33203125" bestFit="1" customWidth="1"/>
    <col min="9" max="9" width="19.33203125" bestFit="1" customWidth="1"/>
    <col min="10" max="10" width="6" bestFit="1" customWidth="1"/>
    <col min="11" max="11" width="5.33203125" bestFit="1" customWidth="1"/>
    <col min="12" max="12" width="5.88671875" bestFit="1" customWidth="1"/>
  </cols>
  <sheetData>
    <row r="1" spans="1:12" x14ac:dyDescent="0.3">
      <c r="A1" s="5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3">
      <c r="A2" s="2">
        <v>1</v>
      </c>
      <c r="B2" s="2" t="s">
        <v>12</v>
      </c>
      <c r="C2" s="2" t="s">
        <v>13</v>
      </c>
      <c r="D2" s="2">
        <v>8210089387</v>
      </c>
      <c r="E2" s="2" t="s">
        <v>14</v>
      </c>
      <c r="F2" s="3">
        <v>46054</v>
      </c>
      <c r="G2" s="3">
        <v>46139</v>
      </c>
      <c r="H2" s="2">
        <v>40</v>
      </c>
      <c r="I2" s="2">
        <v>40</v>
      </c>
      <c r="J2" s="2">
        <f t="shared" ref="J2:J16" si="0">H2*500</f>
        <v>20000</v>
      </c>
      <c r="K2" s="2">
        <f t="shared" ref="K2:K16" si="1">I2-H2</f>
        <v>0</v>
      </c>
      <c r="L2" s="2">
        <f t="shared" ref="L2:L16" si="2">IF(H2&gt;35,5000,0)</f>
        <v>5000</v>
      </c>
    </row>
    <row r="3" spans="1:12" x14ac:dyDescent="0.3">
      <c r="A3" s="2">
        <v>2</v>
      </c>
      <c r="B3" s="2" t="s">
        <v>15</v>
      </c>
      <c r="C3" s="2" t="s">
        <v>13</v>
      </c>
      <c r="D3" s="2">
        <v>8413822231</v>
      </c>
      <c r="E3" s="2" t="s">
        <v>14</v>
      </c>
      <c r="F3" s="3">
        <v>46054</v>
      </c>
      <c r="G3" s="3">
        <v>46139</v>
      </c>
      <c r="H3" s="2">
        <v>39</v>
      </c>
      <c r="I3" s="2">
        <v>40</v>
      </c>
      <c r="J3" s="2">
        <f t="shared" si="0"/>
        <v>19500</v>
      </c>
      <c r="K3" s="2">
        <f t="shared" si="1"/>
        <v>1</v>
      </c>
      <c r="L3" s="2">
        <f t="shared" si="2"/>
        <v>5000</v>
      </c>
    </row>
    <row r="4" spans="1:12" x14ac:dyDescent="0.3">
      <c r="A4" s="2">
        <v>3</v>
      </c>
      <c r="B4" s="2" t="s">
        <v>16</v>
      </c>
      <c r="C4" s="2" t="s">
        <v>13</v>
      </c>
      <c r="D4" s="2">
        <v>8413889387</v>
      </c>
      <c r="E4" s="2" t="s">
        <v>14</v>
      </c>
      <c r="F4" s="3">
        <v>46054</v>
      </c>
      <c r="G4" s="3">
        <v>46139</v>
      </c>
      <c r="H4" s="2">
        <v>39</v>
      </c>
      <c r="I4" s="2">
        <v>40</v>
      </c>
      <c r="J4" s="2">
        <f t="shared" si="0"/>
        <v>19500</v>
      </c>
      <c r="K4" s="2">
        <f t="shared" si="1"/>
        <v>1</v>
      </c>
      <c r="L4" s="2">
        <f t="shared" si="2"/>
        <v>5000</v>
      </c>
    </row>
    <row r="5" spans="1:12" x14ac:dyDescent="0.3">
      <c r="A5" s="2">
        <v>4</v>
      </c>
      <c r="B5" s="2" t="s">
        <v>17</v>
      </c>
      <c r="C5" s="2" t="s">
        <v>13</v>
      </c>
      <c r="D5" s="2">
        <v>9955172172</v>
      </c>
      <c r="E5" s="2" t="s">
        <v>18</v>
      </c>
      <c r="F5" s="3">
        <v>46055</v>
      </c>
      <c r="G5" s="3">
        <v>46137</v>
      </c>
      <c r="H5" s="2">
        <v>20</v>
      </c>
      <c r="I5" s="2">
        <v>40</v>
      </c>
      <c r="J5" s="2">
        <f t="shared" si="0"/>
        <v>10000</v>
      </c>
      <c r="K5" s="2">
        <f t="shared" si="1"/>
        <v>20</v>
      </c>
      <c r="L5" s="2">
        <f t="shared" si="2"/>
        <v>0</v>
      </c>
    </row>
    <row r="6" spans="1:12" x14ac:dyDescent="0.3">
      <c r="A6" s="2">
        <v>5</v>
      </c>
      <c r="B6" s="2" t="s">
        <v>19</v>
      </c>
      <c r="C6" s="2" t="s">
        <v>20</v>
      </c>
      <c r="D6" s="2">
        <v>9546646608</v>
      </c>
      <c r="E6" s="2" t="s">
        <v>14</v>
      </c>
      <c r="F6" s="3">
        <v>46056</v>
      </c>
      <c r="G6" s="3">
        <v>46138</v>
      </c>
      <c r="H6" s="2">
        <v>21</v>
      </c>
      <c r="I6" s="2">
        <v>40</v>
      </c>
      <c r="J6" s="2">
        <f t="shared" si="0"/>
        <v>10500</v>
      </c>
      <c r="K6" s="2">
        <f t="shared" si="1"/>
        <v>19</v>
      </c>
      <c r="L6" s="2">
        <f t="shared" si="2"/>
        <v>0</v>
      </c>
    </row>
    <row r="7" spans="1:12" x14ac:dyDescent="0.3">
      <c r="A7" s="2">
        <v>6</v>
      </c>
      <c r="B7" s="2" t="s">
        <v>21</v>
      </c>
      <c r="C7" s="2" t="s">
        <v>22</v>
      </c>
      <c r="D7" s="2">
        <v>4546212454</v>
      </c>
      <c r="E7" s="2" t="s">
        <v>23</v>
      </c>
      <c r="F7" s="3">
        <v>46057</v>
      </c>
      <c r="G7" s="3">
        <v>46139</v>
      </c>
      <c r="H7" s="2">
        <v>22</v>
      </c>
      <c r="I7" s="2">
        <v>40</v>
      </c>
      <c r="J7" s="2">
        <f t="shared" si="0"/>
        <v>11000</v>
      </c>
      <c r="K7" s="2">
        <f t="shared" si="1"/>
        <v>18</v>
      </c>
      <c r="L7" s="2">
        <f t="shared" si="2"/>
        <v>0</v>
      </c>
    </row>
    <row r="8" spans="1:12" x14ac:dyDescent="0.3">
      <c r="A8" s="2">
        <v>7</v>
      </c>
      <c r="B8" s="2" t="s">
        <v>24</v>
      </c>
      <c r="C8" s="2" t="s">
        <v>20</v>
      </c>
      <c r="D8" s="2">
        <v>7763817656</v>
      </c>
      <c r="E8" s="2" t="s">
        <v>23</v>
      </c>
      <c r="F8" s="3">
        <v>46062</v>
      </c>
      <c r="G8" s="3">
        <v>46144</v>
      </c>
      <c r="H8" s="2">
        <v>27</v>
      </c>
      <c r="I8" s="2">
        <v>40</v>
      </c>
      <c r="J8" s="2">
        <f t="shared" si="0"/>
        <v>13500</v>
      </c>
      <c r="K8" s="2">
        <f t="shared" si="1"/>
        <v>13</v>
      </c>
      <c r="L8" s="2">
        <f t="shared" si="2"/>
        <v>0</v>
      </c>
    </row>
    <row r="9" spans="1:12" x14ac:dyDescent="0.3">
      <c r="A9" s="2">
        <v>8</v>
      </c>
      <c r="B9" s="2" t="s">
        <v>25</v>
      </c>
      <c r="C9" s="2" t="s">
        <v>22</v>
      </c>
      <c r="D9" s="2">
        <v>9934775810</v>
      </c>
      <c r="E9" s="2" t="s">
        <v>26</v>
      </c>
      <c r="F9" s="3">
        <v>46063</v>
      </c>
      <c r="G9" s="3">
        <v>46145</v>
      </c>
      <c r="H9" s="2">
        <v>28</v>
      </c>
      <c r="I9" s="2">
        <v>40</v>
      </c>
      <c r="J9" s="2">
        <f t="shared" si="0"/>
        <v>14000</v>
      </c>
      <c r="K9" s="2">
        <f t="shared" si="1"/>
        <v>12</v>
      </c>
      <c r="L9" s="2">
        <f t="shared" si="2"/>
        <v>0</v>
      </c>
    </row>
    <row r="10" spans="1:12" x14ac:dyDescent="0.3">
      <c r="A10" s="2">
        <v>9</v>
      </c>
      <c r="B10" s="2" t="s">
        <v>27</v>
      </c>
      <c r="C10" s="2" t="s">
        <v>22</v>
      </c>
      <c r="D10" s="2">
        <v>4564541231</v>
      </c>
      <c r="E10" s="2" t="s">
        <v>23</v>
      </c>
      <c r="F10" s="3">
        <v>46064</v>
      </c>
      <c r="G10" s="3">
        <v>46146</v>
      </c>
      <c r="H10" s="2">
        <v>29</v>
      </c>
      <c r="I10" s="2">
        <v>40</v>
      </c>
      <c r="J10" s="2">
        <f t="shared" si="0"/>
        <v>14500</v>
      </c>
      <c r="K10" s="2">
        <f t="shared" si="1"/>
        <v>11</v>
      </c>
      <c r="L10" s="2">
        <f t="shared" si="2"/>
        <v>0</v>
      </c>
    </row>
    <row r="11" spans="1:12" x14ac:dyDescent="0.3">
      <c r="A11" s="2">
        <v>10</v>
      </c>
      <c r="B11" s="2" t="s">
        <v>28</v>
      </c>
      <c r="C11" s="2" t="s">
        <v>29</v>
      </c>
      <c r="D11" s="2">
        <v>5458454544</v>
      </c>
      <c r="E11" s="2" t="s">
        <v>23</v>
      </c>
      <c r="F11" s="3">
        <v>46058</v>
      </c>
      <c r="G11" s="3">
        <v>46140</v>
      </c>
      <c r="H11" s="2">
        <v>23</v>
      </c>
      <c r="I11" s="2">
        <v>40</v>
      </c>
      <c r="J11" s="2">
        <f t="shared" si="0"/>
        <v>11500</v>
      </c>
      <c r="K11" s="2">
        <f t="shared" si="1"/>
        <v>17</v>
      </c>
      <c r="L11" s="2">
        <f t="shared" si="2"/>
        <v>0</v>
      </c>
    </row>
    <row r="12" spans="1:12" x14ac:dyDescent="0.3">
      <c r="A12" s="2">
        <v>11</v>
      </c>
      <c r="B12" s="2" t="s">
        <v>30</v>
      </c>
      <c r="C12" s="2" t="s">
        <v>31</v>
      </c>
      <c r="D12" s="2">
        <v>5454554545</v>
      </c>
      <c r="E12" s="2" t="s">
        <v>26</v>
      </c>
      <c r="F12" s="3">
        <v>46059</v>
      </c>
      <c r="G12" s="3">
        <v>46141</v>
      </c>
      <c r="H12" s="2">
        <v>24</v>
      </c>
      <c r="I12" s="2">
        <v>40</v>
      </c>
      <c r="J12" s="2">
        <f t="shared" si="0"/>
        <v>12000</v>
      </c>
      <c r="K12" s="2">
        <f t="shared" si="1"/>
        <v>16</v>
      </c>
      <c r="L12" s="2">
        <f t="shared" si="2"/>
        <v>0</v>
      </c>
    </row>
    <row r="13" spans="1:12" x14ac:dyDescent="0.3">
      <c r="A13" s="2">
        <v>12</v>
      </c>
      <c r="B13" s="2" t="s">
        <v>32</v>
      </c>
      <c r="C13" s="2" t="s">
        <v>33</v>
      </c>
      <c r="D13" s="2">
        <v>5456442323</v>
      </c>
      <c r="E13" s="2" t="s">
        <v>14</v>
      </c>
      <c r="F13" s="3">
        <v>46060</v>
      </c>
      <c r="G13" s="3">
        <v>46142</v>
      </c>
      <c r="H13" s="2">
        <v>25</v>
      </c>
      <c r="I13" s="2">
        <v>40</v>
      </c>
      <c r="J13" s="2">
        <f t="shared" si="0"/>
        <v>12500</v>
      </c>
      <c r="K13" s="2">
        <f t="shared" si="1"/>
        <v>15</v>
      </c>
      <c r="L13" s="2">
        <f t="shared" si="2"/>
        <v>0</v>
      </c>
    </row>
    <row r="14" spans="1:12" x14ac:dyDescent="0.3">
      <c r="A14" s="2">
        <v>13</v>
      </c>
      <c r="B14" s="2" t="s">
        <v>34</v>
      </c>
      <c r="C14" s="2" t="s">
        <v>22</v>
      </c>
      <c r="D14" s="2">
        <v>7898587459</v>
      </c>
      <c r="E14" s="2" t="s">
        <v>14</v>
      </c>
      <c r="F14" s="3">
        <v>46065</v>
      </c>
      <c r="G14" s="3">
        <v>46147</v>
      </c>
      <c r="H14" s="2">
        <v>30</v>
      </c>
      <c r="I14" s="2">
        <v>40</v>
      </c>
      <c r="J14" s="2">
        <f t="shared" si="0"/>
        <v>15000</v>
      </c>
      <c r="K14" s="2">
        <f t="shared" si="1"/>
        <v>10</v>
      </c>
      <c r="L14" s="2">
        <f t="shared" si="2"/>
        <v>0</v>
      </c>
    </row>
    <row r="15" spans="1:12" x14ac:dyDescent="0.3">
      <c r="A15" s="2">
        <v>14</v>
      </c>
      <c r="B15" s="2" t="s">
        <v>35</v>
      </c>
      <c r="C15" s="2" t="s">
        <v>22</v>
      </c>
      <c r="D15" s="2">
        <v>7989776846</v>
      </c>
      <c r="E15" s="2" t="s">
        <v>26</v>
      </c>
      <c r="F15" s="3">
        <v>46066</v>
      </c>
      <c r="G15" s="3">
        <v>46148</v>
      </c>
      <c r="H15" s="2">
        <v>31</v>
      </c>
      <c r="I15" s="2">
        <v>40</v>
      </c>
      <c r="J15" s="2">
        <f t="shared" si="0"/>
        <v>15500</v>
      </c>
      <c r="K15" s="2">
        <f t="shared" si="1"/>
        <v>9</v>
      </c>
      <c r="L15" s="2">
        <f t="shared" si="2"/>
        <v>0</v>
      </c>
    </row>
    <row r="16" spans="1:12" x14ac:dyDescent="0.3">
      <c r="A16" s="2">
        <v>15</v>
      </c>
      <c r="B16" s="2" t="s">
        <v>36</v>
      </c>
      <c r="C16" s="2" t="s">
        <v>37</v>
      </c>
      <c r="D16" s="2">
        <v>9999999999</v>
      </c>
      <c r="E16" s="2" t="s">
        <v>18</v>
      </c>
      <c r="F16" s="3">
        <v>46061</v>
      </c>
      <c r="G16" s="3">
        <v>46143</v>
      </c>
      <c r="H16" s="2">
        <v>26</v>
      </c>
      <c r="I16" s="2">
        <v>40</v>
      </c>
      <c r="J16" s="2">
        <f t="shared" si="0"/>
        <v>13000</v>
      </c>
      <c r="K16" s="2">
        <f t="shared" si="1"/>
        <v>14</v>
      </c>
      <c r="L16" s="2">
        <f t="shared" si="2"/>
        <v>0</v>
      </c>
    </row>
    <row r="19" spans="4:14" x14ac:dyDescent="0.3">
      <c r="E19">
        <v>10</v>
      </c>
    </row>
    <row r="20" spans="4:14" x14ac:dyDescent="0.3">
      <c r="E20">
        <v>1</v>
      </c>
    </row>
    <row r="21" spans="4:14" x14ac:dyDescent="0.3">
      <c r="D21">
        <f>E19*E20</f>
        <v>10</v>
      </c>
      <c r="E21">
        <v>10</v>
      </c>
      <c r="F21">
        <v>20</v>
      </c>
      <c r="G21">
        <v>30</v>
      </c>
      <c r="H21">
        <v>40</v>
      </c>
      <c r="I21">
        <v>50</v>
      </c>
      <c r="J21">
        <v>60</v>
      </c>
      <c r="K21">
        <v>70</v>
      </c>
      <c r="L21">
        <v>80</v>
      </c>
      <c r="M21">
        <v>90</v>
      </c>
      <c r="N21">
        <v>100</v>
      </c>
    </row>
    <row r="22" spans="4:14" x14ac:dyDescent="0.3">
      <c r="D22">
        <v>1</v>
      </c>
      <c r="E22">
        <f t="dataTable" ref="E22:N31" dt2D="1" dtr="1" r1="E19" r2="E20"/>
        <v>10</v>
      </c>
      <c r="F22">
        <v>20</v>
      </c>
      <c r="G22">
        <v>30</v>
      </c>
      <c r="H22">
        <v>40</v>
      </c>
      <c r="I22">
        <v>50</v>
      </c>
      <c r="J22">
        <v>60</v>
      </c>
      <c r="K22">
        <v>70</v>
      </c>
      <c r="L22">
        <v>80</v>
      </c>
      <c r="M22">
        <v>90</v>
      </c>
      <c r="N22">
        <v>100</v>
      </c>
    </row>
    <row r="23" spans="4:14" x14ac:dyDescent="0.3">
      <c r="D23">
        <v>2</v>
      </c>
      <c r="E23">
        <v>20</v>
      </c>
      <c r="F23">
        <v>40</v>
      </c>
      <c r="G23">
        <v>60</v>
      </c>
      <c r="H23">
        <v>80</v>
      </c>
      <c r="I23">
        <v>100</v>
      </c>
      <c r="J23">
        <v>120</v>
      </c>
      <c r="K23">
        <v>140</v>
      </c>
      <c r="L23">
        <v>160</v>
      </c>
      <c r="M23">
        <v>180</v>
      </c>
      <c r="N23">
        <v>200</v>
      </c>
    </row>
    <row r="24" spans="4:14" x14ac:dyDescent="0.3">
      <c r="D24">
        <v>3</v>
      </c>
      <c r="E24">
        <v>30</v>
      </c>
      <c r="F24">
        <v>60</v>
      </c>
      <c r="G24">
        <v>90</v>
      </c>
      <c r="H24">
        <v>120</v>
      </c>
      <c r="I24">
        <v>150</v>
      </c>
      <c r="J24">
        <v>180</v>
      </c>
      <c r="K24">
        <v>210</v>
      </c>
      <c r="L24">
        <v>240</v>
      </c>
      <c r="M24">
        <v>270</v>
      </c>
      <c r="N24">
        <v>300</v>
      </c>
    </row>
    <row r="25" spans="4:14" x14ac:dyDescent="0.3">
      <c r="D25">
        <v>4</v>
      </c>
      <c r="E25">
        <v>40</v>
      </c>
      <c r="F25">
        <v>80</v>
      </c>
      <c r="G25">
        <v>120</v>
      </c>
      <c r="H25">
        <v>160</v>
      </c>
      <c r="I25">
        <v>200</v>
      </c>
      <c r="J25">
        <v>240</v>
      </c>
      <c r="K25">
        <v>280</v>
      </c>
      <c r="L25">
        <v>320</v>
      </c>
      <c r="M25">
        <v>360</v>
      </c>
      <c r="N25">
        <v>400</v>
      </c>
    </row>
    <row r="26" spans="4:14" x14ac:dyDescent="0.3">
      <c r="D26">
        <v>5</v>
      </c>
      <c r="E26">
        <v>50</v>
      </c>
      <c r="F26">
        <v>100</v>
      </c>
      <c r="G26">
        <v>150</v>
      </c>
      <c r="H26">
        <v>200</v>
      </c>
      <c r="I26">
        <v>250</v>
      </c>
      <c r="J26">
        <v>300</v>
      </c>
      <c r="K26">
        <v>350</v>
      </c>
      <c r="L26">
        <v>400</v>
      </c>
      <c r="M26">
        <v>450</v>
      </c>
      <c r="N26">
        <v>500</v>
      </c>
    </row>
    <row r="27" spans="4:14" x14ac:dyDescent="0.3">
      <c r="D27">
        <v>6</v>
      </c>
      <c r="E27">
        <v>60</v>
      </c>
      <c r="F27">
        <v>120</v>
      </c>
      <c r="G27">
        <v>180</v>
      </c>
      <c r="H27">
        <v>240</v>
      </c>
      <c r="I27">
        <v>300</v>
      </c>
      <c r="J27">
        <v>360</v>
      </c>
      <c r="K27">
        <v>420</v>
      </c>
      <c r="L27">
        <v>480</v>
      </c>
      <c r="M27">
        <v>540</v>
      </c>
      <c r="N27">
        <v>600</v>
      </c>
    </row>
    <row r="28" spans="4:14" x14ac:dyDescent="0.3">
      <c r="D28">
        <v>7</v>
      </c>
      <c r="E28">
        <v>70</v>
      </c>
      <c r="F28">
        <v>140</v>
      </c>
      <c r="G28">
        <v>210</v>
      </c>
      <c r="H28">
        <v>280</v>
      </c>
      <c r="I28">
        <v>350</v>
      </c>
      <c r="J28">
        <v>420</v>
      </c>
      <c r="K28">
        <v>490</v>
      </c>
      <c r="L28">
        <v>560</v>
      </c>
      <c r="M28">
        <v>630</v>
      </c>
      <c r="N28">
        <v>700</v>
      </c>
    </row>
    <row r="29" spans="4:14" x14ac:dyDescent="0.3">
      <c r="D29">
        <v>8</v>
      </c>
      <c r="E29">
        <v>80</v>
      </c>
      <c r="F29">
        <v>160</v>
      </c>
      <c r="G29">
        <v>240</v>
      </c>
      <c r="H29">
        <v>320</v>
      </c>
      <c r="I29">
        <v>400</v>
      </c>
      <c r="J29">
        <v>480</v>
      </c>
      <c r="K29">
        <v>560</v>
      </c>
      <c r="L29">
        <v>640</v>
      </c>
      <c r="M29">
        <v>720</v>
      </c>
      <c r="N29">
        <v>800</v>
      </c>
    </row>
    <row r="30" spans="4:14" x14ac:dyDescent="0.3">
      <c r="D30">
        <v>9</v>
      </c>
      <c r="E30">
        <v>90</v>
      </c>
      <c r="F30">
        <v>180</v>
      </c>
      <c r="G30">
        <v>270</v>
      </c>
      <c r="H30">
        <v>360</v>
      </c>
      <c r="I30">
        <v>450</v>
      </c>
      <c r="J30">
        <v>540</v>
      </c>
      <c r="K30">
        <v>630</v>
      </c>
      <c r="L30">
        <v>720</v>
      </c>
      <c r="M30">
        <v>810</v>
      </c>
      <c r="N30">
        <v>900</v>
      </c>
    </row>
    <row r="31" spans="4:14" x14ac:dyDescent="0.3">
      <c r="D31">
        <v>10</v>
      </c>
      <c r="E31">
        <v>100</v>
      </c>
      <c r="F31">
        <v>200</v>
      </c>
      <c r="G31">
        <v>300</v>
      </c>
      <c r="H31">
        <v>400</v>
      </c>
      <c r="I31">
        <v>500</v>
      </c>
      <c r="J31">
        <v>600</v>
      </c>
      <c r="K31">
        <v>700</v>
      </c>
      <c r="L31">
        <v>800</v>
      </c>
      <c r="M31">
        <v>900</v>
      </c>
      <c r="N31">
        <v>1000</v>
      </c>
    </row>
  </sheetData>
  <dataValidations count="2">
    <dataValidation type="list" allowBlank="1" showInputMessage="1" showErrorMessage="1" sqref="E1:E16" xr:uid="{13BBB85E-6C16-47CC-81D3-0BD2703086E6}">
      <formula1>"data engineer,software engineer,data analyst,full stack"</formula1>
    </dataValidation>
    <dataValidation type="textLength" allowBlank="1" showInputMessage="1" showErrorMessage="1" errorTitle="wrong mob no" error="Enter 10 digit mob number" prompt="Enter mob no" sqref="D1:D16" xr:uid="{280EDA6F-A3C2-4693-AA20-697DA4B1B5E4}">
      <formula1>10</formula1>
      <formula2>10</formula2>
    </dataValidation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62566-61F1-43D2-A50B-22D8D269297D}">
  <dimension ref="A1:Y115"/>
  <sheetViews>
    <sheetView tabSelected="1" topLeftCell="A133" workbookViewId="0">
      <selection activeCell="G17" sqref="G17"/>
    </sheetView>
  </sheetViews>
  <sheetFormatPr defaultColWidth="8.6640625" defaultRowHeight="14.4" x14ac:dyDescent="0.3"/>
  <cols>
    <col min="1" max="1" width="6.109375" bestFit="1" customWidth="1"/>
    <col min="2" max="2" width="15" bestFit="1" customWidth="1"/>
    <col min="3" max="3" width="16.44140625" bestFit="1" customWidth="1"/>
    <col min="4" max="4" width="11" bestFit="1" customWidth="1"/>
    <col min="5" max="5" width="15.88671875" bestFit="1" customWidth="1"/>
    <col min="6" max="7" width="10.44140625" bestFit="1" customWidth="1"/>
    <col min="8" max="8" width="10.33203125" bestFit="1" customWidth="1"/>
    <col min="9" max="9" width="19.33203125" bestFit="1" customWidth="1"/>
    <col min="10" max="10" width="6" bestFit="1" customWidth="1"/>
    <col min="11" max="11" width="5.33203125" bestFit="1" customWidth="1"/>
    <col min="12" max="12" width="5.88671875" bestFit="1" customWidth="1"/>
  </cols>
  <sheetData>
    <row r="1" spans="1:25" x14ac:dyDescent="0.3">
      <c r="A1" s="5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N1" s="5" t="s">
        <v>0</v>
      </c>
      <c r="O1" s="5" t="s">
        <v>1</v>
      </c>
      <c r="P1" s="5" t="s">
        <v>2</v>
      </c>
      <c r="Q1" s="4" t="s">
        <v>3</v>
      </c>
      <c r="R1" s="4" t="s">
        <v>4</v>
      </c>
      <c r="S1" s="4" t="s">
        <v>5</v>
      </c>
      <c r="T1" s="4" t="s">
        <v>6</v>
      </c>
      <c r="U1" s="4" t="s">
        <v>7</v>
      </c>
      <c r="V1" s="4" t="s">
        <v>8</v>
      </c>
      <c r="W1" s="4" t="s">
        <v>9</v>
      </c>
      <c r="X1" s="4" t="s">
        <v>10</v>
      </c>
      <c r="Y1" s="4" t="s">
        <v>11</v>
      </c>
    </row>
    <row r="2" spans="1:25" x14ac:dyDescent="0.3">
      <c r="A2" s="2">
        <v>1</v>
      </c>
      <c r="B2" s="2" t="s">
        <v>12</v>
      </c>
      <c r="C2" s="2" t="s">
        <v>13</v>
      </c>
      <c r="D2" s="2">
        <v>8210089387</v>
      </c>
      <c r="E2" s="2" t="s">
        <v>14</v>
      </c>
      <c r="F2" s="3">
        <v>46054</v>
      </c>
      <c r="G2" s="3">
        <v>46139</v>
      </c>
      <c r="H2" s="2">
        <v>40</v>
      </c>
      <c r="I2" s="2">
        <v>40</v>
      </c>
      <c r="J2" s="2">
        <f t="shared" ref="J2:J16" si="0">H2*500</f>
        <v>20000</v>
      </c>
      <c r="K2" s="2">
        <f t="shared" ref="K2:K16" si="1">I2-H2</f>
        <v>0</v>
      </c>
      <c r="L2" s="2">
        <f t="shared" ref="L2:L16" si="2">IF(H2&gt;35,5000,0)</f>
        <v>5000</v>
      </c>
      <c r="N2" s="2">
        <v>1</v>
      </c>
      <c r="O2" s="2" t="s">
        <v>12</v>
      </c>
      <c r="P2" s="2" t="s">
        <v>13</v>
      </c>
      <c r="Q2" s="2">
        <v>8210089387</v>
      </c>
      <c r="R2" s="2" t="s">
        <v>14</v>
      </c>
      <c r="S2" s="3">
        <v>46054</v>
      </c>
      <c r="T2" s="3">
        <v>46139</v>
      </c>
      <c r="U2" s="2">
        <v>40</v>
      </c>
      <c r="V2" s="2">
        <v>40</v>
      </c>
      <c r="W2" s="2">
        <f t="shared" ref="W2:W16" si="3">U2*500</f>
        <v>20000</v>
      </c>
      <c r="X2" s="2">
        <f t="shared" ref="X2:X16" si="4">V2-U2</f>
        <v>0</v>
      </c>
      <c r="Y2" s="2">
        <f t="shared" ref="Y2:Y16" si="5">IF(U2&gt;35,5000,0)</f>
        <v>5000</v>
      </c>
    </row>
    <row r="3" spans="1:25" x14ac:dyDescent="0.3">
      <c r="A3" s="2">
        <v>2</v>
      </c>
      <c r="B3" s="2" t="s">
        <v>15</v>
      </c>
      <c r="C3" s="2" t="s">
        <v>13</v>
      </c>
      <c r="D3" s="2">
        <v>8413822231</v>
      </c>
      <c r="E3" s="2" t="s">
        <v>14</v>
      </c>
      <c r="F3" s="3">
        <v>46054</v>
      </c>
      <c r="G3" s="3">
        <v>46139</v>
      </c>
      <c r="H3" s="2">
        <v>39</v>
      </c>
      <c r="I3" s="2">
        <v>40</v>
      </c>
      <c r="J3" s="2">
        <f t="shared" si="0"/>
        <v>19500</v>
      </c>
      <c r="K3" s="2">
        <f t="shared" si="1"/>
        <v>1</v>
      </c>
      <c r="L3" s="2">
        <f t="shared" si="2"/>
        <v>5000</v>
      </c>
      <c r="N3" s="2">
        <v>2</v>
      </c>
      <c r="O3" s="2" t="s">
        <v>15</v>
      </c>
      <c r="P3" s="2" t="s">
        <v>13</v>
      </c>
      <c r="Q3" s="2">
        <v>8413822231</v>
      </c>
      <c r="R3" s="2" t="s">
        <v>14</v>
      </c>
      <c r="S3" s="3">
        <v>46054</v>
      </c>
      <c r="T3" s="3">
        <v>46139</v>
      </c>
      <c r="U3" s="2">
        <v>39</v>
      </c>
      <c r="V3" s="2">
        <v>40</v>
      </c>
      <c r="W3" s="2">
        <f t="shared" si="3"/>
        <v>19500</v>
      </c>
      <c r="X3" s="2">
        <f t="shared" si="4"/>
        <v>1</v>
      </c>
      <c r="Y3" s="2">
        <f t="shared" si="5"/>
        <v>5000</v>
      </c>
    </row>
    <row r="4" spans="1:25" x14ac:dyDescent="0.3">
      <c r="A4" s="2">
        <v>3</v>
      </c>
      <c r="B4" s="2" t="s">
        <v>16</v>
      </c>
      <c r="C4" s="2" t="s">
        <v>13</v>
      </c>
      <c r="D4" s="2">
        <v>8413889387</v>
      </c>
      <c r="E4" s="2" t="s">
        <v>14</v>
      </c>
      <c r="F4" s="3">
        <v>46054</v>
      </c>
      <c r="G4" s="3">
        <v>46139</v>
      </c>
      <c r="H4" s="2">
        <v>39</v>
      </c>
      <c r="I4" s="2">
        <v>40</v>
      </c>
      <c r="J4" s="2">
        <f t="shared" si="0"/>
        <v>19500</v>
      </c>
      <c r="K4" s="2">
        <f t="shared" si="1"/>
        <v>1</v>
      </c>
      <c r="L4" s="2">
        <f t="shared" si="2"/>
        <v>5000</v>
      </c>
      <c r="N4" s="2">
        <v>3</v>
      </c>
      <c r="O4" s="2" t="s">
        <v>16</v>
      </c>
      <c r="P4" s="2" t="s">
        <v>13</v>
      </c>
      <c r="Q4" s="2">
        <v>8413889387</v>
      </c>
      <c r="R4" s="2" t="s">
        <v>14</v>
      </c>
      <c r="S4" s="3">
        <v>46054</v>
      </c>
      <c r="T4" s="3">
        <v>46139</v>
      </c>
      <c r="U4" s="2">
        <v>39</v>
      </c>
      <c r="V4" s="2">
        <v>40</v>
      </c>
      <c r="W4" s="2">
        <f t="shared" si="3"/>
        <v>19500</v>
      </c>
      <c r="X4" s="2">
        <f t="shared" si="4"/>
        <v>1</v>
      </c>
      <c r="Y4" s="2">
        <f t="shared" si="5"/>
        <v>5000</v>
      </c>
    </row>
    <row r="5" spans="1:25" x14ac:dyDescent="0.3">
      <c r="A5" s="2">
        <v>4</v>
      </c>
      <c r="B5" s="2" t="s">
        <v>17</v>
      </c>
      <c r="C5" s="2" t="s">
        <v>13</v>
      </c>
      <c r="D5" s="2">
        <v>9955172172</v>
      </c>
      <c r="E5" s="2" t="s">
        <v>18</v>
      </c>
      <c r="F5" s="3">
        <v>46055</v>
      </c>
      <c r="G5" s="3">
        <v>46137</v>
      </c>
      <c r="H5" s="2">
        <v>20</v>
      </c>
      <c r="I5" s="2">
        <v>40</v>
      </c>
      <c r="J5" s="2">
        <f t="shared" si="0"/>
        <v>10000</v>
      </c>
      <c r="K5" s="2">
        <f t="shared" si="1"/>
        <v>20</v>
      </c>
      <c r="L5" s="2">
        <f t="shared" si="2"/>
        <v>0</v>
      </c>
      <c r="N5" s="2">
        <v>4</v>
      </c>
      <c r="O5" s="2" t="s">
        <v>17</v>
      </c>
      <c r="P5" s="2" t="s">
        <v>13</v>
      </c>
      <c r="Q5" s="2">
        <v>9955172172</v>
      </c>
      <c r="R5" s="2" t="s">
        <v>18</v>
      </c>
      <c r="S5" s="3">
        <v>46055</v>
      </c>
      <c r="T5" s="3">
        <v>46137</v>
      </c>
      <c r="U5" s="2">
        <v>20</v>
      </c>
      <c r="V5" s="2">
        <v>40</v>
      </c>
      <c r="W5" s="2">
        <f t="shared" si="3"/>
        <v>10000</v>
      </c>
      <c r="X5" s="2">
        <f t="shared" si="4"/>
        <v>20</v>
      </c>
      <c r="Y5" s="2">
        <f t="shared" si="5"/>
        <v>0</v>
      </c>
    </row>
    <row r="6" spans="1:25" x14ac:dyDescent="0.3">
      <c r="A6" s="2">
        <v>5</v>
      </c>
      <c r="B6" s="2" t="s">
        <v>19</v>
      </c>
      <c r="C6" s="2" t="s">
        <v>20</v>
      </c>
      <c r="D6" s="2">
        <v>9546646608</v>
      </c>
      <c r="E6" s="2" t="s">
        <v>14</v>
      </c>
      <c r="F6" s="3">
        <v>46056</v>
      </c>
      <c r="G6" s="3">
        <v>46138</v>
      </c>
      <c r="H6" s="2">
        <v>21</v>
      </c>
      <c r="I6" s="2">
        <v>40</v>
      </c>
      <c r="J6" s="2">
        <f t="shared" si="0"/>
        <v>10500</v>
      </c>
      <c r="K6" s="2">
        <f t="shared" si="1"/>
        <v>19</v>
      </c>
      <c r="L6" s="2">
        <f t="shared" si="2"/>
        <v>0</v>
      </c>
      <c r="N6" s="2">
        <v>5</v>
      </c>
      <c r="O6" s="2" t="s">
        <v>19</v>
      </c>
      <c r="P6" s="2" t="s">
        <v>20</v>
      </c>
      <c r="Q6" s="2">
        <v>9546646608</v>
      </c>
      <c r="R6" s="2" t="s">
        <v>14</v>
      </c>
      <c r="S6" s="3">
        <v>46056</v>
      </c>
      <c r="T6" s="3">
        <v>46138</v>
      </c>
      <c r="U6" s="2">
        <v>21</v>
      </c>
      <c r="V6" s="2">
        <v>40</v>
      </c>
      <c r="W6" s="2">
        <f t="shared" si="3"/>
        <v>10500</v>
      </c>
      <c r="X6" s="2">
        <f t="shared" si="4"/>
        <v>19</v>
      </c>
      <c r="Y6" s="2">
        <f t="shared" si="5"/>
        <v>0</v>
      </c>
    </row>
    <row r="7" spans="1:25" x14ac:dyDescent="0.3">
      <c r="A7" s="2">
        <v>6</v>
      </c>
      <c r="B7" s="2" t="s">
        <v>21</v>
      </c>
      <c r="C7" s="2" t="s">
        <v>22</v>
      </c>
      <c r="D7" s="2">
        <v>4546212454</v>
      </c>
      <c r="E7" s="2" t="s">
        <v>23</v>
      </c>
      <c r="F7" s="3">
        <v>46057</v>
      </c>
      <c r="G7" s="3">
        <v>46139</v>
      </c>
      <c r="H7" s="2">
        <v>22</v>
      </c>
      <c r="I7" s="2">
        <v>40</v>
      </c>
      <c r="J7" s="2">
        <f t="shared" si="0"/>
        <v>11000</v>
      </c>
      <c r="K7" s="2">
        <f t="shared" si="1"/>
        <v>18</v>
      </c>
      <c r="L7" s="2">
        <f t="shared" si="2"/>
        <v>0</v>
      </c>
      <c r="N7" s="2">
        <v>6</v>
      </c>
      <c r="O7" s="2" t="s">
        <v>21</v>
      </c>
      <c r="P7" s="2" t="s">
        <v>22</v>
      </c>
      <c r="Q7" s="2">
        <v>4546212454</v>
      </c>
      <c r="R7" s="2" t="s">
        <v>23</v>
      </c>
      <c r="S7" s="3">
        <v>46057</v>
      </c>
      <c r="T7" s="3">
        <v>46139</v>
      </c>
      <c r="U7" s="2">
        <v>22</v>
      </c>
      <c r="V7" s="2">
        <v>40</v>
      </c>
      <c r="W7" s="2">
        <f t="shared" si="3"/>
        <v>11000</v>
      </c>
      <c r="X7" s="2">
        <f t="shared" si="4"/>
        <v>18</v>
      </c>
      <c r="Y7" s="2">
        <f t="shared" si="5"/>
        <v>0</v>
      </c>
    </row>
    <row r="8" spans="1:25" x14ac:dyDescent="0.3">
      <c r="A8" s="2">
        <v>7</v>
      </c>
      <c r="B8" s="2" t="s">
        <v>24</v>
      </c>
      <c r="C8" s="2" t="s">
        <v>20</v>
      </c>
      <c r="D8" s="2">
        <v>7763817656</v>
      </c>
      <c r="E8" s="2" t="s">
        <v>23</v>
      </c>
      <c r="F8" s="3">
        <v>46062</v>
      </c>
      <c r="G8" s="3">
        <v>46144</v>
      </c>
      <c r="H8" s="2">
        <v>27</v>
      </c>
      <c r="I8" s="2">
        <v>40</v>
      </c>
      <c r="J8" s="2">
        <f t="shared" si="0"/>
        <v>13500</v>
      </c>
      <c r="K8" s="2">
        <f t="shared" si="1"/>
        <v>13</v>
      </c>
      <c r="L8" s="2">
        <f t="shared" si="2"/>
        <v>0</v>
      </c>
      <c r="N8" s="2">
        <v>7</v>
      </c>
      <c r="O8" s="2" t="s">
        <v>24</v>
      </c>
      <c r="P8" s="2" t="s">
        <v>20</v>
      </c>
      <c r="Q8" s="2">
        <v>7763817656</v>
      </c>
      <c r="R8" s="2" t="s">
        <v>23</v>
      </c>
      <c r="S8" s="3">
        <v>46062</v>
      </c>
      <c r="T8" s="3">
        <v>46144</v>
      </c>
      <c r="U8" s="2">
        <v>27</v>
      </c>
      <c r="V8" s="2">
        <v>40</v>
      </c>
      <c r="W8" s="2">
        <f t="shared" si="3"/>
        <v>13500</v>
      </c>
      <c r="X8" s="2">
        <f t="shared" si="4"/>
        <v>13</v>
      </c>
      <c r="Y8" s="2">
        <f t="shared" si="5"/>
        <v>0</v>
      </c>
    </row>
    <row r="9" spans="1:25" x14ac:dyDescent="0.3">
      <c r="A9" s="2">
        <v>8</v>
      </c>
      <c r="B9" s="2" t="s">
        <v>25</v>
      </c>
      <c r="C9" s="2" t="s">
        <v>22</v>
      </c>
      <c r="D9" s="2">
        <v>9934775810</v>
      </c>
      <c r="E9" s="2" t="s">
        <v>26</v>
      </c>
      <c r="F9" s="3">
        <v>46063</v>
      </c>
      <c r="G9" s="3">
        <v>46145</v>
      </c>
      <c r="H9" s="2">
        <v>28</v>
      </c>
      <c r="I9" s="2">
        <v>40</v>
      </c>
      <c r="J9" s="2">
        <f t="shared" si="0"/>
        <v>14000</v>
      </c>
      <c r="K9" s="2">
        <f t="shared" si="1"/>
        <v>12</v>
      </c>
      <c r="L9" s="2">
        <f t="shared" si="2"/>
        <v>0</v>
      </c>
      <c r="N9" s="2">
        <v>8</v>
      </c>
      <c r="O9" s="2" t="s">
        <v>25</v>
      </c>
      <c r="P9" s="2" t="s">
        <v>22</v>
      </c>
      <c r="Q9" s="2">
        <v>9934775810</v>
      </c>
      <c r="R9" s="2" t="s">
        <v>26</v>
      </c>
      <c r="S9" s="3">
        <v>46063</v>
      </c>
      <c r="T9" s="3">
        <v>46145</v>
      </c>
      <c r="U9" s="2">
        <v>28</v>
      </c>
      <c r="V9" s="2">
        <v>40</v>
      </c>
      <c r="W9" s="2">
        <f t="shared" si="3"/>
        <v>14000</v>
      </c>
      <c r="X9" s="2">
        <f t="shared" si="4"/>
        <v>12</v>
      </c>
      <c r="Y9" s="2">
        <f t="shared" si="5"/>
        <v>0</v>
      </c>
    </row>
    <row r="10" spans="1:25" x14ac:dyDescent="0.3">
      <c r="A10" s="2">
        <v>9</v>
      </c>
      <c r="B10" s="2" t="s">
        <v>27</v>
      </c>
      <c r="C10" s="2" t="s">
        <v>22</v>
      </c>
      <c r="D10" s="2">
        <v>4564541231</v>
      </c>
      <c r="E10" s="2" t="s">
        <v>23</v>
      </c>
      <c r="F10" s="3">
        <v>46064</v>
      </c>
      <c r="G10" s="3">
        <v>46146</v>
      </c>
      <c r="H10" s="2">
        <v>29</v>
      </c>
      <c r="I10" s="2">
        <v>40</v>
      </c>
      <c r="J10" s="2">
        <f t="shared" si="0"/>
        <v>14500</v>
      </c>
      <c r="K10" s="2">
        <f t="shared" si="1"/>
        <v>11</v>
      </c>
      <c r="L10" s="2">
        <f t="shared" si="2"/>
        <v>0</v>
      </c>
      <c r="N10" s="2">
        <v>9</v>
      </c>
      <c r="O10" s="2" t="s">
        <v>27</v>
      </c>
      <c r="P10" s="2" t="s">
        <v>22</v>
      </c>
      <c r="Q10" s="2">
        <v>4564541231</v>
      </c>
      <c r="R10" s="2" t="s">
        <v>23</v>
      </c>
      <c r="S10" s="3">
        <v>46064</v>
      </c>
      <c r="T10" s="3">
        <v>46146</v>
      </c>
      <c r="U10" s="2">
        <v>29</v>
      </c>
      <c r="V10" s="2">
        <v>40</v>
      </c>
      <c r="W10" s="2">
        <f t="shared" si="3"/>
        <v>14500</v>
      </c>
      <c r="X10" s="2">
        <f t="shared" si="4"/>
        <v>11</v>
      </c>
      <c r="Y10" s="2">
        <f t="shared" si="5"/>
        <v>0</v>
      </c>
    </row>
    <row r="11" spans="1:25" x14ac:dyDescent="0.3">
      <c r="A11" s="2">
        <v>10</v>
      </c>
      <c r="B11" s="2" t="s">
        <v>28</v>
      </c>
      <c r="C11" s="2" t="s">
        <v>29</v>
      </c>
      <c r="D11" s="2">
        <v>5458454544</v>
      </c>
      <c r="E11" s="2" t="s">
        <v>23</v>
      </c>
      <c r="F11" s="3">
        <v>46058</v>
      </c>
      <c r="G11" s="3">
        <v>46140</v>
      </c>
      <c r="H11" s="2">
        <v>23</v>
      </c>
      <c r="I11" s="2">
        <v>40</v>
      </c>
      <c r="J11" s="2">
        <f t="shared" si="0"/>
        <v>11500</v>
      </c>
      <c r="K11" s="2">
        <f t="shared" si="1"/>
        <v>17</v>
      </c>
      <c r="L11" s="2">
        <f t="shared" si="2"/>
        <v>0</v>
      </c>
      <c r="N11" s="2">
        <v>10</v>
      </c>
      <c r="O11" s="2" t="s">
        <v>28</v>
      </c>
      <c r="P11" s="2" t="s">
        <v>29</v>
      </c>
      <c r="Q11" s="2">
        <v>5458454544</v>
      </c>
      <c r="R11" s="2" t="s">
        <v>23</v>
      </c>
      <c r="S11" s="3">
        <v>46058</v>
      </c>
      <c r="T11" s="3">
        <v>46140</v>
      </c>
      <c r="U11" s="2">
        <v>23</v>
      </c>
      <c r="V11" s="2">
        <v>40</v>
      </c>
      <c r="W11" s="2">
        <f t="shared" si="3"/>
        <v>11500</v>
      </c>
      <c r="X11" s="2">
        <f t="shared" si="4"/>
        <v>17</v>
      </c>
      <c r="Y11" s="2">
        <f t="shared" si="5"/>
        <v>0</v>
      </c>
    </row>
    <row r="12" spans="1:25" x14ac:dyDescent="0.3">
      <c r="A12" s="2">
        <v>11</v>
      </c>
      <c r="B12" s="2" t="s">
        <v>30</v>
      </c>
      <c r="C12" s="2" t="s">
        <v>31</v>
      </c>
      <c r="D12" s="2">
        <v>5454554545</v>
      </c>
      <c r="E12" s="2" t="s">
        <v>26</v>
      </c>
      <c r="F12" s="3">
        <v>46059</v>
      </c>
      <c r="G12" s="3">
        <v>46141</v>
      </c>
      <c r="H12" s="2">
        <v>24</v>
      </c>
      <c r="I12" s="2">
        <v>40</v>
      </c>
      <c r="J12" s="2">
        <f t="shared" si="0"/>
        <v>12000</v>
      </c>
      <c r="K12" s="2">
        <f t="shared" si="1"/>
        <v>16</v>
      </c>
      <c r="L12" s="2">
        <f t="shared" si="2"/>
        <v>0</v>
      </c>
      <c r="N12" s="2">
        <v>11</v>
      </c>
      <c r="O12" s="2" t="s">
        <v>30</v>
      </c>
      <c r="P12" s="2" t="s">
        <v>31</v>
      </c>
      <c r="Q12" s="2">
        <v>5454554545</v>
      </c>
      <c r="R12" s="2" t="s">
        <v>26</v>
      </c>
      <c r="S12" s="3">
        <v>46059</v>
      </c>
      <c r="T12" s="3">
        <v>46141</v>
      </c>
      <c r="U12" s="2">
        <v>24</v>
      </c>
      <c r="V12" s="2">
        <v>40</v>
      </c>
      <c r="W12" s="2">
        <f t="shared" si="3"/>
        <v>12000</v>
      </c>
      <c r="X12" s="2">
        <f t="shared" si="4"/>
        <v>16</v>
      </c>
      <c r="Y12" s="2">
        <f t="shared" si="5"/>
        <v>0</v>
      </c>
    </row>
    <row r="13" spans="1:25" x14ac:dyDescent="0.3">
      <c r="A13" s="2">
        <v>12</v>
      </c>
      <c r="B13" s="2" t="s">
        <v>32</v>
      </c>
      <c r="C13" s="2" t="s">
        <v>33</v>
      </c>
      <c r="D13" s="2">
        <v>5456442323</v>
      </c>
      <c r="E13" s="2" t="s">
        <v>14</v>
      </c>
      <c r="F13" s="3">
        <v>46060</v>
      </c>
      <c r="G13" s="3">
        <v>46142</v>
      </c>
      <c r="H13" s="2">
        <v>25</v>
      </c>
      <c r="I13" s="2">
        <v>40</v>
      </c>
      <c r="J13" s="2">
        <f t="shared" si="0"/>
        <v>12500</v>
      </c>
      <c r="K13" s="2">
        <f t="shared" si="1"/>
        <v>15</v>
      </c>
      <c r="L13" s="2">
        <f t="shared" si="2"/>
        <v>0</v>
      </c>
      <c r="N13" s="2">
        <v>12</v>
      </c>
      <c r="O13" s="2" t="s">
        <v>32</v>
      </c>
      <c r="P13" s="2" t="s">
        <v>33</v>
      </c>
      <c r="Q13" s="2">
        <v>5456442323</v>
      </c>
      <c r="R13" s="2" t="s">
        <v>14</v>
      </c>
      <c r="S13" s="3">
        <v>46060</v>
      </c>
      <c r="T13" s="3">
        <v>46142</v>
      </c>
      <c r="U13" s="2">
        <v>25</v>
      </c>
      <c r="V13" s="2">
        <v>40</v>
      </c>
      <c r="W13" s="2">
        <f t="shared" si="3"/>
        <v>12500</v>
      </c>
      <c r="X13" s="2">
        <f t="shared" si="4"/>
        <v>15</v>
      </c>
      <c r="Y13" s="2">
        <f t="shared" si="5"/>
        <v>0</v>
      </c>
    </row>
    <row r="14" spans="1:25" x14ac:dyDescent="0.3">
      <c r="A14" s="2">
        <v>13</v>
      </c>
      <c r="B14" s="2" t="s">
        <v>34</v>
      </c>
      <c r="C14" s="2" t="s">
        <v>22</v>
      </c>
      <c r="D14" s="2">
        <v>7898587459</v>
      </c>
      <c r="E14" s="2" t="s">
        <v>14</v>
      </c>
      <c r="F14" s="3">
        <v>46065</v>
      </c>
      <c r="G14" s="3">
        <v>46147</v>
      </c>
      <c r="H14" s="2">
        <v>30</v>
      </c>
      <c r="I14" s="2">
        <v>40</v>
      </c>
      <c r="J14" s="2">
        <f t="shared" si="0"/>
        <v>15000</v>
      </c>
      <c r="K14" s="2">
        <f t="shared" si="1"/>
        <v>10</v>
      </c>
      <c r="L14" s="2">
        <f t="shared" si="2"/>
        <v>0</v>
      </c>
      <c r="N14" s="2">
        <v>13</v>
      </c>
      <c r="O14" s="2" t="s">
        <v>34</v>
      </c>
      <c r="P14" s="2" t="s">
        <v>22</v>
      </c>
      <c r="Q14" s="2">
        <v>7898587459</v>
      </c>
      <c r="R14" s="2" t="s">
        <v>14</v>
      </c>
      <c r="S14" s="3">
        <v>46065</v>
      </c>
      <c r="T14" s="3">
        <v>46147</v>
      </c>
      <c r="U14" s="2">
        <v>30</v>
      </c>
      <c r="V14" s="2">
        <v>40</v>
      </c>
      <c r="W14" s="2">
        <f t="shared" si="3"/>
        <v>15000</v>
      </c>
      <c r="X14" s="2">
        <f t="shared" si="4"/>
        <v>10</v>
      </c>
      <c r="Y14" s="2">
        <f t="shared" si="5"/>
        <v>0</v>
      </c>
    </row>
    <row r="15" spans="1:25" x14ac:dyDescent="0.3">
      <c r="A15" s="2">
        <v>14</v>
      </c>
      <c r="B15" s="2" t="s">
        <v>35</v>
      </c>
      <c r="C15" s="2" t="s">
        <v>22</v>
      </c>
      <c r="D15" s="2">
        <v>7989776846</v>
      </c>
      <c r="E15" s="2" t="s">
        <v>26</v>
      </c>
      <c r="F15" s="3">
        <v>46066</v>
      </c>
      <c r="G15" s="3">
        <v>46148</v>
      </c>
      <c r="H15" s="2">
        <v>31</v>
      </c>
      <c r="I15" s="2">
        <v>40</v>
      </c>
      <c r="J15" s="2">
        <f t="shared" si="0"/>
        <v>15500</v>
      </c>
      <c r="K15" s="2">
        <f t="shared" si="1"/>
        <v>9</v>
      </c>
      <c r="L15" s="2">
        <f t="shared" si="2"/>
        <v>0</v>
      </c>
      <c r="N15" s="2">
        <v>14</v>
      </c>
      <c r="O15" s="2" t="s">
        <v>35</v>
      </c>
      <c r="P15" s="2" t="s">
        <v>22</v>
      </c>
      <c r="Q15" s="2">
        <v>7989776846</v>
      </c>
      <c r="R15" s="2" t="s">
        <v>26</v>
      </c>
      <c r="S15" s="3">
        <v>46066</v>
      </c>
      <c r="T15" s="3">
        <v>46148</v>
      </c>
      <c r="U15" s="2">
        <v>31</v>
      </c>
      <c r="V15" s="2">
        <v>40</v>
      </c>
      <c r="W15" s="2">
        <f t="shared" si="3"/>
        <v>15500</v>
      </c>
      <c r="X15" s="2">
        <f t="shared" si="4"/>
        <v>9</v>
      </c>
      <c r="Y15" s="2">
        <f t="shared" si="5"/>
        <v>0</v>
      </c>
    </row>
    <row r="16" spans="1:25" x14ac:dyDescent="0.3">
      <c r="A16" s="2">
        <v>15</v>
      </c>
      <c r="B16" s="2" t="s">
        <v>36</v>
      </c>
      <c r="C16" s="2" t="s">
        <v>37</v>
      </c>
      <c r="D16" s="2">
        <v>9999999999</v>
      </c>
      <c r="E16" s="2" t="s">
        <v>18</v>
      </c>
      <c r="F16" s="3">
        <v>46061</v>
      </c>
      <c r="G16" s="3">
        <v>46143</v>
      </c>
      <c r="H16" s="2">
        <v>26</v>
      </c>
      <c r="I16" s="2">
        <v>40</v>
      </c>
      <c r="J16" s="2">
        <f t="shared" si="0"/>
        <v>13000</v>
      </c>
      <c r="K16" s="2">
        <f t="shared" si="1"/>
        <v>14</v>
      </c>
      <c r="L16" s="2">
        <f t="shared" si="2"/>
        <v>0</v>
      </c>
      <c r="N16" s="2">
        <v>15</v>
      </c>
      <c r="O16" s="2" t="s">
        <v>36</v>
      </c>
      <c r="P16" s="2" t="s">
        <v>37</v>
      </c>
      <c r="Q16" s="2">
        <v>9999999999</v>
      </c>
      <c r="R16" s="2" t="s">
        <v>18</v>
      </c>
      <c r="S16" s="3">
        <v>46061</v>
      </c>
      <c r="T16" s="3">
        <v>46143</v>
      </c>
      <c r="U16" s="2">
        <v>26</v>
      </c>
      <c r="V16" s="2">
        <v>40</v>
      </c>
      <c r="W16" s="2">
        <f t="shared" si="3"/>
        <v>13000</v>
      </c>
      <c r="X16" s="2">
        <f t="shared" si="4"/>
        <v>14</v>
      </c>
      <c r="Y16" s="2">
        <f t="shared" si="5"/>
        <v>0</v>
      </c>
    </row>
    <row r="18" spans="1:25" x14ac:dyDescent="0.3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t="s">
        <v>10</v>
      </c>
      <c r="L18" t="s">
        <v>11</v>
      </c>
      <c r="N18" t="s">
        <v>0</v>
      </c>
      <c r="O18" t="s">
        <v>1</v>
      </c>
      <c r="P18" t="s">
        <v>2</v>
      </c>
      <c r="Q18" t="s">
        <v>3</v>
      </c>
      <c r="R18" t="s">
        <v>4</v>
      </c>
      <c r="S18" t="s">
        <v>5</v>
      </c>
      <c r="T18" t="s">
        <v>6</v>
      </c>
      <c r="U18" t="s">
        <v>7</v>
      </c>
      <c r="V18" t="s">
        <v>8</v>
      </c>
      <c r="W18" t="s">
        <v>9</v>
      </c>
      <c r="X18" t="s">
        <v>10</v>
      </c>
      <c r="Y18" t="s">
        <v>11</v>
      </c>
    </row>
    <row r="19" spans="1:25" x14ac:dyDescent="0.3">
      <c r="A19">
        <v>1</v>
      </c>
      <c r="B19" t="s">
        <v>12</v>
      </c>
      <c r="C19" t="s">
        <v>13</v>
      </c>
      <c r="D19">
        <v>8210089387</v>
      </c>
      <c r="E19" t="s">
        <v>14</v>
      </c>
      <c r="F19">
        <v>46054</v>
      </c>
      <c r="G19">
        <v>46139</v>
      </c>
      <c r="H19">
        <v>40</v>
      </c>
      <c r="I19">
        <v>40</v>
      </c>
      <c r="J19">
        <f t="shared" ref="J19:J33" si="6">H19*500</f>
        <v>20000</v>
      </c>
      <c r="K19">
        <f t="shared" ref="K19:K33" si="7">I19-H19</f>
        <v>0</v>
      </c>
      <c r="L19">
        <f t="shared" ref="L19:L33" si="8">IF(H19&gt;35,5000,0)</f>
        <v>5000</v>
      </c>
      <c r="N19">
        <v>1</v>
      </c>
      <c r="O19" t="s">
        <v>12</v>
      </c>
      <c r="P19" t="s">
        <v>13</v>
      </c>
      <c r="Q19">
        <v>8210089387</v>
      </c>
      <c r="R19" t="s">
        <v>14</v>
      </c>
      <c r="S19" s="1">
        <v>46054</v>
      </c>
      <c r="T19" s="1">
        <v>46139</v>
      </c>
      <c r="U19">
        <v>40</v>
      </c>
      <c r="V19">
        <v>40</v>
      </c>
      <c r="W19">
        <f t="shared" ref="W19:W33" si="9">U19*500</f>
        <v>20000</v>
      </c>
      <c r="X19">
        <f t="shared" ref="X19:X33" si="10">V19-U19</f>
        <v>0</v>
      </c>
      <c r="Y19">
        <f t="shared" ref="Y19:Y33" si="11">IF(U19&gt;35,5000,0)</f>
        <v>5000</v>
      </c>
    </row>
    <row r="20" spans="1:25" x14ac:dyDescent="0.3">
      <c r="A20">
        <v>2</v>
      </c>
      <c r="B20" t="s">
        <v>15</v>
      </c>
      <c r="C20" t="s">
        <v>13</v>
      </c>
      <c r="D20">
        <v>8413822231</v>
      </c>
      <c r="E20" t="s">
        <v>14</v>
      </c>
      <c r="F20">
        <v>46054</v>
      </c>
      <c r="G20">
        <v>46139</v>
      </c>
      <c r="H20">
        <v>39</v>
      </c>
      <c r="I20">
        <v>40</v>
      </c>
      <c r="J20">
        <f t="shared" si="6"/>
        <v>19500</v>
      </c>
      <c r="K20">
        <f t="shared" si="7"/>
        <v>1</v>
      </c>
      <c r="L20">
        <f t="shared" si="8"/>
        <v>5000</v>
      </c>
      <c r="N20">
        <v>2</v>
      </c>
      <c r="O20" t="s">
        <v>15</v>
      </c>
      <c r="P20" t="s">
        <v>13</v>
      </c>
      <c r="Q20">
        <v>8413822231</v>
      </c>
      <c r="R20" t="s">
        <v>14</v>
      </c>
      <c r="S20" s="1">
        <v>46054</v>
      </c>
      <c r="T20" s="1">
        <v>46139</v>
      </c>
      <c r="U20">
        <v>39</v>
      </c>
      <c r="V20">
        <v>40</v>
      </c>
      <c r="W20">
        <f t="shared" si="9"/>
        <v>19500</v>
      </c>
      <c r="X20">
        <f t="shared" si="10"/>
        <v>1</v>
      </c>
      <c r="Y20">
        <f t="shared" si="11"/>
        <v>5000</v>
      </c>
    </row>
    <row r="21" spans="1:25" x14ac:dyDescent="0.3">
      <c r="A21">
        <v>3</v>
      </c>
      <c r="B21" t="s">
        <v>16</v>
      </c>
      <c r="C21" t="s">
        <v>13</v>
      </c>
      <c r="D21">
        <v>8413889387</v>
      </c>
      <c r="E21" t="s">
        <v>14</v>
      </c>
      <c r="F21">
        <v>46054</v>
      </c>
      <c r="G21">
        <v>46139</v>
      </c>
      <c r="H21">
        <v>39</v>
      </c>
      <c r="I21">
        <v>40</v>
      </c>
      <c r="J21">
        <f t="shared" si="6"/>
        <v>19500</v>
      </c>
      <c r="K21">
        <f t="shared" si="7"/>
        <v>1</v>
      </c>
      <c r="L21">
        <f t="shared" si="8"/>
        <v>5000</v>
      </c>
      <c r="N21">
        <v>3</v>
      </c>
      <c r="O21" t="s">
        <v>16</v>
      </c>
      <c r="P21" t="s">
        <v>13</v>
      </c>
      <c r="Q21">
        <v>8413889387</v>
      </c>
      <c r="R21" t="s">
        <v>14</v>
      </c>
      <c r="S21" s="1">
        <v>46054</v>
      </c>
      <c r="T21" s="1">
        <v>46139</v>
      </c>
      <c r="U21">
        <v>39</v>
      </c>
      <c r="V21">
        <v>40</v>
      </c>
      <c r="W21">
        <f t="shared" si="9"/>
        <v>19500</v>
      </c>
      <c r="X21">
        <f t="shared" si="10"/>
        <v>1</v>
      </c>
      <c r="Y21">
        <f t="shared" si="11"/>
        <v>5000</v>
      </c>
    </row>
    <row r="22" spans="1:25" x14ac:dyDescent="0.3">
      <c r="A22">
        <v>4</v>
      </c>
      <c r="B22" t="s">
        <v>17</v>
      </c>
      <c r="C22" t="s">
        <v>13</v>
      </c>
      <c r="D22">
        <v>9955172172</v>
      </c>
      <c r="E22" t="s">
        <v>18</v>
      </c>
      <c r="F22">
        <v>46055</v>
      </c>
      <c r="G22">
        <v>46137</v>
      </c>
      <c r="H22">
        <v>20</v>
      </c>
      <c r="I22">
        <v>40</v>
      </c>
      <c r="J22">
        <f t="shared" si="6"/>
        <v>10000</v>
      </c>
      <c r="K22">
        <f t="shared" si="7"/>
        <v>20</v>
      </c>
      <c r="L22">
        <f t="shared" si="8"/>
        <v>0</v>
      </c>
      <c r="N22">
        <v>4</v>
      </c>
      <c r="O22" t="s">
        <v>17</v>
      </c>
      <c r="P22" t="s">
        <v>13</v>
      </c>
      <c r="Q22">
        <v>9955172172</v>
      </c>
      <c r="R22" t="s">
        <v>18</v>
      </c>
      <c r="S22" s="1">
        <v>46055</v>
      </c>
      <c r="T22" s="1">
        <v>46137</v>
      </c>
      <c r="U22">
        <v>20</v>
      </c>
      <c r="V22">
        <v>40</v>
      </c>
      <c r="W22">
        <f t="shared" si="9"/>
        <v>10000</v>
      </c>
      <c r="X22">
        <f t="shared" si="10"/>
        <v>20</v>
      </c>
      <c r="Y22">
        <f t="shared" si="11"/>
        <v>0</v>
      </c>
    </row>
    <row r="23" spans="1:25" x14ac:dyDescent="0.3">
      <c r="A23">
        <v>5</v>
      </c>
      <c r="B23" t="s">
        <v>19</v>
      </c>
      <c r="C23" t="s">
        <v>20</v>
      </c>
      <c r="D23">
        <v>9546646608</v>
      </c>
      <c r="E23" t="s">
        <v>14</v>
      </c>
      <c r="F23">
        <v>46056</v>
      </c>
      <c r="G23">
        <v>46138</v>
      </c>
      <c r="H23">
        <v>21</v>
      </c>
      <c r="I23">
        <v>40</v>
      </c>
      <c r="J23">
        <f t="shared" si="6"/>
        <v>10500</v>
      </c>
      <c r="K23">
        <f t="shared" si="7"/>
        <v>19</v>
      </c>
      <c r="L23">
        <f t="shared" si="8"/>
        <v>0</v>
      </c>
      <c r="N23">
        <v>5</v>
      </c>
      <c r="O23" t="s">
        <v>19</v>
      </c>
      <c r="P23" t="s">
        <v>20</v>
      </c>
      <c r="Q23">
        <v>9546646608</v>
      </c>
      <c r="R23" t="s">
        <v>14</v>
      </c>
      <c r="S23" s="1">
        <v>46056</v>
      </c>
      <c r="T23" s="1">
        <v>46138</v>
      </c>
      <c r="U23">
        <v>21</v>
      </c>
      <c r="V23">
        <v>40</v>
      </c>
      <c r="W23">
        <f t="shared" si="9"/>
        <v>10500</v>
      </c>
      <c r="X23">
        <f t="shared" si="10"/>
        <v>19</v>
      </c>
      <c r="Y23">
        <f t="shared" si="11"/>
        <v>0</v>
      </c>
    </row>
    <row r="24" spans="1:25" x14ac:dyDescent="0.3">
      <c r="A24">
        <v>6</v>
      </c>
      <c r="B24" t="s">
        <v>21</v>
      </c>
      <c r="C24" t="s">
        <v>22</v>
      </c>
      <c r="D24">
        <v>4546212454</v>
      </c>
      <c r="E24" t="s">
        <v>23</v>
      </c>
      <c r="F24">
        <v>46057</v>
      </c>
      <c r="G24">
        <v>46139</v>
      </c>
      <c r="H24">
        <v>22</v>
      </c>
      <c r="I24">
        <v>40</v>
      </c>
      <c r="J24">
        <f t="shared" si="6"/>
        <v>11000</v>
      </c>
      <c r="K24">
        <f t="shared" si="7"/>
        <v>18</v>
      </c>
      <c r="L24">
        <f t="shared" si="8"/>
        <v>0</v>
      </c>
      <c r="N24">
        <v>6</v>
      </c>
      <c r="O24" t="s">
        <v>21</v>
      </c>
      <c r="P24" t="s">
        <v>22</v>
      </c>
      <c r="Q24">
        <v>4546212454</v>
      </c>
      <c r="R24" t="s">
        <v>23</v>
      </c>
      <c r="S24" s="1">
        <v>46057</v>
      </c>
      <c r="T24" s="1">
        <v>46139</v>
      </c>
      <c r="U24">
        <v>22</v>
      </c>
      <c r="V24">
        <v>40</v>
      </c>
      <c r="W24">
        <f t="shared" si="9"/>
        <v>11000</v>
      </c>
      <c r="X24">
        <f t="shared" si="10"/>
        <v>18</v>
      </c>
      <c r="Y24">
        <f t="shared" si="11"/>
        <v>0</v>
      </c>
    </row>
    <row r="25" spans="1:25" x14ac:dyDescent="0.3">
      <c r="A25">
        <v>7</v>
      </c>
      <c r="B25" t="s">
        <v>24</v>
      </c>
      <c r="C25" t="s">
        <v>20</v>
      </c>
      <c r="D25">
        <v>7763817656</v>
      </c>
      <c r="E25" t="s">
        <v>23</v>
      </c>
      <c r="F25">
        <v>46062</v>
      </c>
      <c r="G25">
        <v>46144</v>
      </c>
      <c r="H25">
        <v>27</v>
      </c>
      <c r="I25">
        <v>40</v>
      </c>
      <c r="J25">
        <f t="shared" si="6"/>
        <v>13500</v>
      </c>
      <c r="K25">
        <f t="shared" si="7"/>
        <v>13</v>
      </c>
      <c r="L25">
        <f t="shared" si="8"/>
        <v>0</v>
      </c>
      <c r="N25">
        <v>7</v>
      </c>
      <c r="O25" t="s">
        <v>24</v>
      </c>
      <c r="P25" t="s">
        <v>20</v>
      </c>
      <c r="Q25">
        <v>7763817656</v>
      </c>
      <c r="R25" t="s">
        <v>23</v>
      </c>
      <c r="S25" s="1">
        <v>46062</v>
      </c>
      <c r="T25" s="1">
        <v>46144</v>
      </c>
      <c r="U25">
        <v>27</v>
      </c>
      <c r="V25">
        <v>40</v>
      </c>
      <c r="W25">
        <f t="shared" si="9"/>
        <v>13500</v>
      </c>
      <c r="X25">
        <f t="shared" si="10"/>
        <v>13</v>
      </c>
      <c r="Y25">
        <f t="shared" si="11"/>
        <v>0</v>
      </c>
    </row>
    <row r="26" spans="1:25" x14ac:dyDescent="0.3">
      <c r="A26">
        <v>8</v>
      </c>
      <c r="B26" t="s">
        <v>25</v>
      </c>
      <c r="C26" t="s">
        <v>22</v>
      </c>
      <c r="D26">
        <v>9934775810</v>
      </c>
      <c r="E26" t="s">
        <v>26</v>
      </c>
      <c r="F26">
        <v>46063</v>
      </c>
      <c r="G26">
        <v>46145</v>
      </c>
      <c r="H26">
        <v>28</v>
      </c>
      <c r="I26">
        <v>40</v>
      </c>
      <c r="J26">
        <f t="shared" si="6"/>
        <v>14000</v>
      </c>
      <c r="K26">
        <f t="shared" si="7"/>
        <v>12</v>
      </c>
      <c r="L26">
        <f t="shared" si="8"/>
        <v>0</v>
      </c>
      <c r="N26">
        <v>8</v>
      </c>
      <c r="O26" t="s">
        <v>25</v>
      </c>
      <c r="P26" t="s">
        <v>22</v>
      </c>
      <c r="Q26">
        <v>9934775810</v>
      </c>
      <c r="R26" t="s">
        <v>26</v>
      </c>
      <c r="S26" s="1">
        <v>46063</v>
      </c>
      <c r="T26" s="1">
        <v>46145</v>
      </c>
      <c r="U26">
        <v>28</v>
      </c>
      <c r="V26">
        <v>40</v>
      </c>
      <c r="W26">
        <f t="shared" si="9"/>
        <v>14000</v>
      </c>
      <c r="X26">
        <f t="shared" si="10"/>
        <v>12</v>
      </c>
      <c r="Y26">
        <f t="shared" si="11"/>
        <v>0</v>
      </c>
    </row>
    <row r="27" spans="1:25" x14ac:dyDescent="0.3">
      <c r="A27">
        <v>9</v>
      </c>
      <c r="B27" t="s">
        <v>27</v>
      </c>
      <c r="C27" t="s">
        <v>22</v>
      </c>
      <c r="D27">
        <v>4564541231</v>
      </c>
      <c r="E27" t="s">
        <v>23</v>
      </c>
      <c r="F27">
        <v>46064</v>
      </c>
      <c r="G27">
        <v>46146</v>
      </c>
      <c r="H27">
        <v>29</v>
      </c>
      <c r="I27">
        <v>40</v>
      </c>
      <c r="J27">
        <f t="shared" si="6"/>
        <v>14500</v>
      </c>
      <c r="K27">
        <f t="shared" si="7"/>
        <v>11</v>
      </c>
      <c r="L27">
        <f t="shared" si="8"/>
        <v>0</v>
      </c>
      <c r="N27">
        <v>9</v>
      </c>
      <c r="O27" t="s">
        <v>27</v>
      </c>
      <c r="P27" t="s">
        <v>22</v>
      </c>
      <c r="Q27">
        <v>4564541231</v>
      </c>
      <c r="R27" t="s">
        <v>23</v>
      </c>
      <c r="S27" s="1">
        <v>46064</v>
      </c>
      <c r="T27" s="1">
        <v>46146</v>
      </c>
      <c r="U27">
        <v>29</v>
      </c>
      <c r="V27">
        <v>40</v>
      </c>
      <c r="W27">
        <f t="shared" si="9"/>
        <v>14500</v>
      </c>
      <c r="X27">
        <f t="shared" si="10"/>
        <v>11</v>
      </c>
      <c r="Y27">
        <f t="shared" si="11"/>
        <v>0</v>
      </c>
    </row>
    <row r="28" spans="1:25" x14ac:dyDescent="0.3">
      <c r="A28">
        <v>10</v>
      </c>
      <c r="B28" t="s">
        <v>28</v>
      </c>
      <c r="C28" t="s">
        <v>29</v>
      </c>
      <c r="D28">
        <v>5458454544</v>
      </c>
      <c r="E28" t="s">
        <v>23</v>
      </c>
      <c r="F28">
        <v>46058</v>
      </c>
      <c r="G28">
        <v>46140</v>
      </c>
      <c r="H28">
        <v>23</v>
      </c>
      <c r="I28">
        <v>40</v>
      </c>
      <c r="J28">
        <f t="shared" si="6"/>
        <v>11500</v>
      </c>
      <c r="K28">
        <f t="shared" si="7"/>
        <v>17</v>
      </c>
      <c r="L28">
        <f t="shared" si="8"/>
        <v>0</v>
      </c>
      <c r="N28">
        <v>10</v>
      </c>
      <c r="O28" t="s">
        <v>28</v>
      </c>
      <c r="P28" t="s">
        <v>29</v>
      </c>
      <c r="Q28">
        <v>5458454544</v>
      </c>
      <c r="R28" t="s">
        <v>23</v>
      </c>
      <c r="S28" s="1">
        <v>46058</v>
      </c>
      <c r="T28" s="1">
        <v>46140</v>
      </c>
      <c r="U28">
        <v>23</v>
      </c>
      <c r="V28">
        <v>40</v>
      </c>
      <c r="W28">
        <f t="shared" si="9"/>
        <v>11500</v>
      </c>
      <c r="X28">
        <f t="shared" si="10"/>
        <v>17</v>
      </c>
      <c r="Y28">
        <f t="shared" si="11"/>
        <v>0</v>
      </c>
    </row>
    <row r="29" spans="1:25" x14ac:dyDescent="0.3">
      <c r="A29">
        <v>11</v>
      </c>
      <c r="B29" t="s">
        <v>30</v>
      </c>
      <c r="C29" t="s">
        <v>31</v>
      </c>
      <c r="D29">
        <v>5454554545</v>
      </c>
      <c r="E29" t="s">
        <v>26</v>
      </c>
      <c r="F29">
        <v>46059</v>
      </c>
      <c r="G29">
        <v>46141</v>
      </c>
      <c r="H29">
        <v>24</v>
      </c>
      <c r="I29">
        <v>40</v>
      </c>
      <c r="J29">
        <f t="shared" si="6"/>
        <v>12000</v>
      </c>
      <c r="K29">
        <f t="shared" si="7"/>
        <v>16</v>
      </c>
      <c r="L29">
        <f t="shared" si="8"/>
        <v>0</v>
      </c>
      <c r="N29">
        <v>11</v>
      </c>
      <c r="O29" t="s">
        <v>30</v>
      </c>
      <c r="P29" t="s">
        <v>31</v>
      </c>
      <c r="Q29">
        <v>5454554545</v>
      </c>
      <c r="R29" t="s">
        <v>26</v>
      </c>
      <c r="S29" s="1">
        <v>46059</v>
      </c>
      <c r="T29" s="1">
        <v>46141</v>
      </c>
      <c r="U29">
        <v>24</v>
      </c>
      <c r="V29">
        <v>40</v>
      </c>
      <c r="W29">
        <f t="shared" si="9"/>
        <v>12000</v>
      </c>
      <c r="X29">
        <f t="shared" si="10"/>
        <v>16</v>
      </c>
      <c r="Y29">
        <f t="shared" si="11"/>
        <v>0</v>
      </c>
    </row>
    <row r="30" spans="1:25" x14ac:dyDescent="0.3">
      <c r="A30">
        <v>12</v>
      </c>
      <c r="B30" t="s">
        <v>32</v>
      </c>
      <c r="C30" t="s">
        <v>33</v>
      </c>
      <c r="D30">
        <v>5456442323</v>
      </c>
      <c r="E30" t="s">
        <v>14</v>
      </c>
      <c r="F30">
        <v>46060</v>
      </c>
      <c r="G30">
        <v>46142</v>
      </c>
      <c r="H30">
        <v>25</v>
      </c>
      <c r="I30">
        <v>40</v>
      </c>
      <c r="J30">
        <f t="shared" si="6"/>
        <v>12500</v>
      </c>
      <c r="K30">
        <f t="shared" si="7"/>
        <v>15</v>
      </c>
      <c r="L30">
        <f t="shared" si="8"/>
        <v>0</v>
      </c>
      <c r="N30">
        <v>12</v>
      </c>
      <c r="O30" t="s">
        <v>32</v>
      </c>
      <c r="P30" t="s">
        <v>33</v>
      </c>
      <c r="Q30">
        <v>5456442323</v>
      </c>
      <c r="R30" t="s">
        <v>14</v>
      </c>
      <c r="S30" s="1">
        <v>46060</v>
      </c>
      <c r="T30" s="1">
        <v>46142</v>
      </c>
      <c r="U30">
        <v>25</v>
      </c>
      <c r="V30">
        <v>40</v>
      </c>
      <c r="W30">
        <f t="shared" si="9"/>
        <v>12500</v>
      </c>
      <c r="X30">
        <f t="shared" si="10"/>
        <v>15</v>
      </c>
      <c r="Y30">
        <f t="shared" si="11"/>
        <v>0</v>
      </c>
    </row>
    <row r="31" spans="1:25" x14ac:dyDescent="0.3">
      <c r="A31">
        <v>13</v>
      </c>
      <c r="B31" t="s">
        <v>34</v>
      </c>
      <c r="C31" t="s">
        <v>22</v>
      </c>
      <c r="D31">
        <v>7898587459</v>
      </c>
      <c r="E31" t="s">
        <v>14</v>
      </c>
      <c r="F31">
        <v>46065</v>
      </c>
      <c r="G31">
        <v>46147</v>
      </c>
      <c r="H31">
        <v>30</v>
      </c>
      <c r="I31">
        <v>40</v>
      </c>
      <c r="J31">
        <f t="shared" si="6"/>
        <v>15000</v>
      </c>
      <c r="K31">
        <f t="shared" si="7"/>
        <v>10</v>
      </c>
      <c r="L31">
        <f t="shared" si="8"/>
        <v>0</v>
      </c>
      <c r="N31">
        <v>13</v>
      </c>
      <c r="O31" t="s">
        <v>34</v>
      </c>
      <c r="P31" t="s">
        <v>22</v>
      </c>
      <c r="Q31">
        <v>7898587459</v>
      </c>
      <c r="R31" t="s">
        <v>14</v>
      </c>
      <c r="S31" s="1">
        <v>46065</v>
      </c>
      <c r="T31" s="1">
        <v>46147</v>
      </c>
      <c r="U31">
        <v>30</v>
      </c>
      <c r="V31">
        <v>40</v>
      </c>
      <c r="W31">
        <f t="shared" si="9"/>
        <v>15000</v>
      </c>
      <c r="X31">
        <f t="shared" si="10"/>
        <v>10</v>
      </c>
      <c r="Y31">
        <f t="shared" si="11"/>
        <v>0</v>
      </c>
    </row>
    <row r="32" spans="1:25" x14ac:dyDescent="0.3">
      <c r="A32">
        <v>14</v>
      </c>
      <c r="B32" t="s">
        <v>35</v>
      </c>
      <c r="C32" t="s">
        <v>22</v>
      </c>
      <c r="D32">
        <v>7989776846</v>
      </c>
      <c r="E32" t="s">
        <v>26</v>
      </c>
      <c r="F32">
        <v>46066</v>
      </c>
      <c r="G32">
        <v>46148</v>
      </c>
      <c r="H32">
        <v>31</v>
      </c>
      <c r="I32">
        <v>40</v>
      </c>
      <c r="J32">
        <f t="shared" si="6"/>
        <v>15500</v>
      </c>
      <c r="K32">
        <f t="shared" si="7"/>
        <v>9</v>
      </c>
      <c r="L32">
        <f t="shared" si="8"/>
        <v>0</v>
      </c>
      <c r="N32">
        <v>14</v>
      </c>
      <c r="O32" t="s">
        <v>35</v>
      </c>
      <c r="P32" t="s">
        <v>22</v>
      </c>
      <c r="Q32">
        <v>7989776846</v>
      </c>
      <c r="R32" t="s">
        <v>26</v>
      </c>
      <c r="S32" s="1">
        <v>46066</v>
      </c>
      <c r="T32" s="1">
        <v>46148</v>
      </c>
      <c r="U32">
        <v>31</v>
      </c>
      <c r="V32">
        <v>40</v>
      </c>
      <c r="W32">
        <f t="shared" si="9"/>
        <v>15500</v>
      </c>
      <c r="X32">
        <f t="shared" si="10"/>
        <v>9</v>
      </c>
      <c r="Y32">
        <f t="shared" si="11"/>
        <v>0</v>
      </c>
    </row>
    <row r="33" spans="1:25" x14ac:dyDescent="0.3">
      <c r="A33">
        <v>15</v>
      </c>
      <c r="B33" t="s">
        <v>36</v>
      </c>
      <c r="C33" t="s">
        <v>37</v>
      </c>
      <c r="D33">
        <v>9999999999</v>
      </c>
      <c r="E33" t="s">
        <v>18</v>
      </c>
      <c r="F33">
        <v>46061</v>
      </c>
      <c r="G33">
        <v>46143</v>
      </c>
      <c r="H33">
        <v>26</v>
      </c>
      <c r="I33">
        <v>40</v>
      </c>
      <c r="J33">
        <f t="shared" si="6"/>
        <v>13000</v>
      </c>
      <c r="K33">
        <f t="shared" si="7"/>
        <v>14</v>
      </c>
      <c r="L33">
        <f t="shared" si="8"/>
        <v>0</v>
      </c>
      <c r="N33">
        <v>15</v>
      </c>
      <c r="O33" t="s">
        <v>36</v>
      </c>
      <c r="P33" t="s">
        <v>37</v>
      </c>
      <c r="Q33">
        <v>9999999999</v>
      </c>
      <c r="R33" t="s">
        <v>18</v>
      </c>
      <c r="S33" s="1">
        <v>46061</v>
      </c>
      <c r="T33" s="1">
        <v>46143</v>
      </c>
      <c r="U33">
        <v>26</v>
      </c>
      <c r="V33">
        <v>40</v>
      </c>
      <c r="W33">
        <f t="shared" si="9"/>
        <v>13000</v>
      </c>
      <c r="X33">
        <f t="shared" si="10"/>
        <v>14</v>
      </c>
      <c r="Y33">
        <f t="shared" si="11"/>
        <v>0</v>
      </c>
    </row>
    <row r="36" spans="1:25" x14ac:dyDescent="0.3">
      <c r="A36" s="5" t="s">
        <v>0</v>
      </c>
      <c r="B36" s="5" t="s">
        <v>1</v>
      </c>
      <c r="C36" s="5" t="s">
        <v>2</v>
      </c>
      <c r="D36" s="4" t="s">
        <v>3</v>
      </c>
      <c r="E36" s="4" t="s">
        <v>4</v>
      </c>
      <c r="F36" s="4" t="s">
        <v>5</v>
      </c>
      <c r="G36" s="4" t="s">
        <v>6</v>
      </c>
      <c r="H36" s="4" t="s">
        <v>7</v>
      </c>
      <c r="I36" s="4" t="s">
        <v>8</v>
      </c>
      <c r="J36" s="4" t="s">
        <v>9</v>
      </c>
      <c r="K36" s="4" t="s">
        <v>10</v>
      </c>
      <c r="L36" s="4" t="s">
        <v>11</v>
      </c>
      <c r="N36" s="6" t="s">
        <v>0</v>
      </c>
      <c r="O36" s="6" t="s">
        <v>1</v>
      </c>
      <c r="P36" s="6" t="s">
        <v>2</v>
      </c>
      <c r="Q36" s="6" t="s">
        <v>3</v>
      </c>
      <c r="R36" s="6" t="s">
        <v>4</v>
      </c>
      <c r="S36" s="6" t="s">
        <v>5</v>
      </c>
      <c r="T36" s="6" t="s">
        <v>6</v>
      </c>
      <c r="U36" s="6" t="s">
        <v>7</v>
      </c>
      <c r="V36" s="6" t="s">
        <v>8</v>
      </c>
      <c r="W36" s="6" t="s">
        <v>9</v>
      </c>
      <c r="X36" s="6" t="s">
        <v>10</v>
      </c>
      <c r="Y36" s="6" t="s">
        <v>11</v>
      </c>
    </row>
    <row r="37" spans="1:25" x14ac:dyDescent="0.3">
      <c r="A37" s="2">
        <v>1</v>
      </c>
      <c r="B37" s="2" t="s">
        <v>12</v>
      </c>
      <c r="C37" s="2" t="s">
        <v>13</v>
      </c>
      <c r="D37" s="2">
        <v>8210089387</v>
      </c>
      <c r="E37" s="2" t="s">
        <v>14</v>
      </c>
      <c r="F37" s="3">
        <v>46054</v>
      </c>
      <c r="G37" s="3">
        <v>46139</v>
      </c>
      <c r="H37" s="2">
        <v>40</v>
      </c>
      <c r="I37" s="2">
        <v>40</v>
      </c>
      <c r="J37" s="2">
        <f t="shared" ref="J37:J51" si="12">H37*500</f>
        <v>20000</v>
      </c>
      <c r="K37" s="2">
        <f t="shared" ref="K37:K51" si="13">I37-H37</f>
        <v>0</v>
      </c>
      <c r="L37" s="2">
        <f t="shared" ref="L37:L51" si="14">IF(H37&gt;35,5000,0)</f>
        <v>5000</v>
      </c>
      <c r="N37" s="7">
        <v>1</v>
      </c>
      <c r="O37" s="7" t="s">
        <v>12</v>
      </c>
      <c r="P37" s="7" t="s">
        <v>13</v>
      </c>
      <c r="Q37" s="7">
        <v>8210089387</v>
      </c>
      <c r="R37" s="7" t="s">
        <v>14</v>
      </c>
      <c r="S37" s="8">
        <v>46054</v>
      </c>
      <c r="T37" s="8">
        <v>46139</v>
      </c>
      <c r="U37" s="7">
        <v>40</v>
      </c>
      <c r="V37" s="7">
        <v>40</v>
      </c>
      <c r="W37" s="7">
        <f t="shared" ref="W37:W51" si="15">U37*500</f>
        <v>20000</v>
      </c>
      <c r="X37" s="7">
        <f t="shared" ref="X37:X51" si="16">V37-U37</f>
        <v>0</v>
      </c>
      <c r="Y37" s="7">
        <f t="shared" ref="Y37:Y51" si="17">IF(U37&gt;35,5000,0)</f>
        <v>5000</v>
      </c>
    </row>
    <row r="38" spans="1:25" x14ac:dyDescent="0.3">
      <c r="A38" s="2">
        <v>2</v>
      </c>
      <c r="B38" s="2" t="s">
        <v>15</v>
      </c>
      <c r="C38" s="2" t="s">
        <v>13</v>
      </c>
      <c r="D38" s="2">
        <v>8413822231</v>
      </c>
      <c r="E38" s="2" t="s">
        <v>14</v>
      </c>
      <c r="F38" s="3">
        <v>46054</v>
      </c>
      <c r="G38" s="3">
        <v>46139</v>
      </c>
      <c r="H38" s="2">
        <v>39</v>
      </c>
      <c r="I38" s="2">
        <v>40</v>
      </c>
      <c r="J38" s="2">
        <f t="shared" si="12"/>
        <v>19500</v>
      </c>
      <c r="K38" s="2">
        <f t="shared" si="13"/>
        <v>1</v>
      </c>
      <c r="L38" s="2">
        <f t="shared" si="14"/>
        <v>5000</v>
      </c>
      <c r="N38" s="7">
        <v>2</v>
      </c>
      <c r="O38" s="7" t="s">
        <v>15</v>
      </c>
      <c r="P38" s="7" t="s">
        <v>13</v>
      </c>
      <c r="Q38" s="7">
        <v>8413822231</v>
      </c>
      <c r="R38" s="7" t="s">
        <v>14</v>
      </c>
      <c r="S38" s="8">
        <v>46054</v>
      </c>
      <c r="T38" s="8">
        <v>46139</v>
      </c>
      <c r="U38" s="7">
        <v>39</v>
      </c>
      <c r="V38" s="7">
        <v>40</v>
      </c>
      <c r="W38" s="7">
        <f t="shared" si="15"/>
        <v>19500</v>
      </c>
      <c r="X38" s="7">
        <f t="shared" si="16"/>
        <v>1</v>
      </c>
      <c r="Y38" s="7">
        <f t="shared" si="17"/>
        <v>5000</v>
      </c>
    </row>
    <row r="39" spans="1:25" x14ac:dyDescent="0.3">
      <c r="A39" s="2">
        <v>3</v>
      </c>
      <c r="B39" s="2" t="s">
        <v>16</v>
      </c>
      <c r="C39" s="2" t="s">
        <v>13</v>
      </c>
      <c r="D39" s="2">
        <v>8413889387</v>
      </c>
      <c r="E39" s="2" t="s">
        <v>14</v>
      </c>
      <c r="F39" s="3">
        <v>46054</v>
      </c>
      <c r="G39" s="3">
        <v>46139</v>
      </c>
      <c r="H39" s="2">
        <v>39</v>
      </c>
      <c r="I39" s="2">
        <v>40</v>
      </c>
      <c r="J39" s="2">
        <f t="shared" si="12"/>
        <v>19500</v>
      </c>
      <c r="K39" s="2">
        <f t="shared" si="13"/>
        <v>1</v>
      </c>
      <c r="L39" s="2">
        <f t="shared" si="14"/>
        <v>5000</v>
      </c>
      <c r="N39" s="7">
        <v>3</v>
      </c>
      <c r="O39" s="7" t="s">
        <v>16</v>
      </c>
      <c r="P39" s="7" t="s">
        <v>13</v>
      </c>
      <c r="Q39" s="7">
        <v>8413889387</v>
      </c>
      <c r="R39" s="7" t="s">
        <v>14</v>
      </c>
      <c r="S39" s="8">
        <v>46054</v>
      </c>
      <c r="T39" s="8">
        <v>46139</v>
      </c>
      <c r="U39" s="7">
        <v>39</v>
      </c>
      <c r="V39" s="7">
        <v>40</v>
      </c>
      <c r="W39" s="7">
        <f t="shared" si="15"/>
        <v>19500</v>
      </c>
      <c r="X39" s="7">
        <f t="shared" si="16"/>
        <v>1</v>
      </c>
      <c r="Y39" s="7">
        <f t="shared" si="17"/>
        <v>5000</v>
      </c>
    </row>
    <row r="40" spans="1:25" x14ac:dyDescent="0.3">
      <c r="A40" s="2">
        <v>4</v>
      </c>
      <c r="B40" s="2" t="s">
        <v>17</v>
      </c>
      <c r="C40" s="2" t="s">
        <v>13</v>
      </c>
      <c r="D40" s="2">
        <v>9955172172</v>
      </c>
      <c r="E40" s="2" t="s">
        <v>18</v>
      </c>
      <c r="F40" s="3">
        <v>46055</v>
      </c>
      <c r="G40" s="3">
        <v>46137</v>
      </c>
      <c r="H40" s="2">
        <v>20</v>
      </c>
      <c r="I40" s="2">
        <v>40</v>
      </c>
      <c r="J40" s="2">
        <f t="shared" si="12"/>
        <v>10000</v>
      </c>
      <c r="K40" s="2">
        <f t="shared" si="13"/>
        <v>20</v>
      </c>
      <c r="L40" s="2">
        <f t="shared" si="14"/>
        <v>0</v>
      </c>
      <c r="N40" s="7">
        <v>4</v>
      </c>
      <c r="O40" s="7" t="s">
        <v>17</v>
      </c>
      <c r="P40" s="7" t="s">
        <v>13</v>
      </c>
      <c r="Q40" s="7">
        <v>9955172172</v>
      </c>
      <c r="R40" s="7" t="s">
        <v>18</v>
      </c>
      <c r="S40" s="8">
        <v>46055</v>
      </c>
      <c r="T40" s="8">
        <v>46137</v>
      </c>
      <c r="U40" s="7">
        <v>20</v>
      </c>
      <c r="V40" s="7">
        <v>40</v>
      </c>
      <c r="W40" s="7">
        <f t="shared" si="15"/>
        <v>10000</v>
      </c>
      <c r="X40" s="7">
        <f t="shared" si="16"/>
        <v>20</v>
      </c>
      <c r="Y40" s="7">
        <f t="shared" si="17"/>
        <v>0</v>
      </c>
    </row>
    <row r="41" spans="1:25" x14ac:dyDescent="0.3">
      <c r="A41" s="2">
        <v>5</v>
      </c>
      <c r="B41" s="2" t="s">
        <v>19</v>
      </c>
      <c r="C41" s="2" t="s">
        <v>20</v>
      </c>
      <c r="D41" s="2">
        <v>9546646608</v>
      </c>
      <c r="E41" s="2" t="s">
        <v>14</v>
      </c>
      <c r="F41" s="3">
        <v>46056</v>
      </c>
      <c r="G41" s="3">
        <v>46138</v>
      </c>
      <c r="H41" s="2">
        <v>21</v>
      </c>
      <c r="I41" s="2">
        <v>40</v>
      </c>
      <c r="J41" s="2">
        <f t="shared" si="12"/>
        <v>10500</v>
      </c>
      <c r="K41" s="2">
        <f t="shared" si="13"/>
        <v>19</v>
      </c>
      <c r="L41" s="2">
        <f t="shared" si="14"/>
        <v>0</v>
      </c>
      <c r="N41" s="7">
        <v>5</v>
      </c>
      <c r="O41" s="7" t="s">
        <v>19</v>
      </c>
      <c r="P41" s="7" t="s">
        <v>20</v>
      </c>
      <c r="Q41" s="7">
        <v>9546646608</v>
      </c>
      <c r="R41" s="7" t="s">
        <v>14</v>
      </c>
      <c r="S41" s="8">
        <v>46056</v>
      </c>
      <c r="T41" s="8">
        <v>46138</v>
      </c>
      <c r="U41" s="7">
        <v>21</v>
      </c>
      <c r="V41" s="7">
        <v>40</v>
      </c>
      <c r="W41" s="7">
        <f t="shared" si="15"/>
        <v>10500</v>
      </c>
      <c r="X41" s="7">
        <f t="shared" si="16"/>
        <v>19</v>
      </c>
      <c r="Y41" s="7">
        <f t="shared" si="17"/>
        <v>0</v>
      </c>
    </row>
    <row r="42" spans="1:25" x14ac:dyDescent="0.3">
      <c r="A42" s="2">
        <v>6</v>
      </c>
      <c r="B42" s="2" t="s">
        <v>21</v>
      </c>
      <c r="C42" s="2" t="s">
        <v>22</v>
      </c>
      <c r="D42" s="2">
        <v>4546212454</v>
      </c>
      <c r="E42" s="2" t="s">
        <v>23</v>
      </c>
      <c r="F42" s="3">
        <v>46057</v>
      </c>
      <c r="G42" s="3">
        <v>46139</v>
      </c>
      <c r="H42" s="2">
        <v>22</v>
      </c>
      <c r="I42" s="2">
        <v>40</v>
      </c>
      <c r="J42" s="2">
        <f t="shared" si="12"/>
        <v>11000</v>
      </c>
      <c r="K42" s="2">
        <f t="shared" si="13"/>
        <v>18</v>
      </c>
      <c r="L42" s="2">
        <f t="shared" si="14"/>
        <v>0</v>
      </c>
      <c r="N42" s="7">
        <v>6</v>
      </c>
      <c r="O42" s="7" t="s">
        <v>21</v>
      </c>
      <c r="P42" s="7" t="s">
        <v>22</v>
      </c>
      <c r="Q42" s="7">
        <v>4546212454</v>
      </c>
      <c r="R42" s="7" t="s">
        <v>23</v>
      </c>
      <c r="S42" s="8">
        <v>46057</v>
      </c>
      <c r="T42" s="8">
        <v>46139</v>
      </c>
      <c r="U42" s="7">
        <v>22</v>
      </c>
      <c r="V42" s="7">
        <v>40</v>
      </c>
      <c r="W42" s="7">
        <f t="shared" si="15"/>
        <v>11000</v>
      </c>
      <c r="X42" s="7">
        <f t="shared" si="16"/>
        <v>18</v>
      </c>
      <c r="Y42" s="7">
        <f t="shared" si="17"/>
        <v>0</v>
      </c>
    </row>
    <row r="43" spans="1:25" x14ac:dyDescent="0.3">
      <c r="A43" s="2">
        <v>7</v>
      </c>
      <c r="B43" s="2" t="s">
        <v>24</v>
      </c>
      <c r="C43" s="2" t="s">
        <v>20</v>
      </c>
      <c r="D43" s="2">
        <v>7763817656</v>
      </c>
      <c r="E43" s="2" t="s">
        <v>23</v>
      </c>
      <c r="F43" s="3">
        <v>46062</v>
      </c>
      <c r="G43" s="3">
        <v>46144</v>
      </c>
      <c r="H43" s="2">
        <v>27</v>
      </c>
      <c r="I43" s="2">
        <v>40</v>
      </c>
      <c r="J43" s="2">
        <f t="shared" si="12"/>
        <v>13500</v>
      </c>
      <c r="K43" s="2">
        <f t="shared" si="13"/>
        <v>13</v>
      </c>
      <c r="L43" s="2">
        <f t="shared" si="14"/>
        <v>0</v>
      </c>
      <c r="N43" s="7">
        <v>7</v>
      </c>
      <c r="O43" s="7" t="s">
        <v>24</v>
      </c>
      <c r="P43" s="7" t="s">
        <v>20</v>
      </c>
      <c r="Q43" s="7">
        <v>7763817656</v>
      </c>
      <c r="R43" s="7" t="s">
        <v>23</v>
      </c>
      <c r="S43" s="8">
        <v>46062</v>
      </c>
      <c r="T43" s="8">
        <v>46144</v>
      </c>
      <c r="U43" s="7">
        <v>27</v>
      </c>
      <c r="V43" s="7">
        <v>40</v>
      </c>
      <c r="W43" s="7">
        <f t="shared" si="15"/>
        <v>13500</v>
      </c>
      <c r="X43" s="7">
        <f t="shared" si="16"/>
        <v>13</v>
      </c>
      <c r="Y43" s="7">
        <f t="shared" si="17"/>
        <v>0</v>
      </c>
    </row>
    <row r="44" spans="1:25" x14ac:dyDescent="0.3">
      <c r="A44" s="2">
        <v>8</v>
      </c>
      <c r="B44" s="2" t="s">
        <v>25</v>
      </c>
      <c r="C44" s="2" t="s">
        <v>22</v>
      </c>
      <c r="D44" s="2">
        <v>9934775810</v>
      </c>
      <c r="E44" s="2" t="s">
        <v>26</v>
      </c>
      <c r="F44" s="3">
        <v>46063</v>
      </c>
      <c r="G44" s="3">
        <v>46145</v>
      </c>
      <c r="H44" s="2">
        <v>28</v>
      </c>
      <c r="I44" s="2">
        <v>40</v>
      </c>
      <c r="J44" s="2">
        <f t="shared" si="12"/>
        <v>14000</v>
      </c>
      <c r="K44" s="2">
        <f t="shared" si="13"/>
        <v>12</v>
      </c>
      <c r="L44" s="2">
        <f t="shared" si="14"/>
        <v>0</v>
      </c>
      <c r="N44" s="7">
        <v>8</v>
      </c>
      <c r="O44" s="7" t="s">
        <v>25</v>
      </c>
      <c r="P44" s="7" t="s">
        <v>22</v>
      </c>
      <c r="Q44" s="7">
        <v>9934775810</v>
      </c>
      <c r="R44" s="7" t="s">
        <v>26</v>
      </c>
      <c r="S44" s="8">
        <v>46063</v>
      </c>
      <c r="T44" s="8">
        <v>46145</v>
      </c>
      <c r="U44" s="7">
        <v>28</v>
      </c>
      <c r="V44" s="7">
        <v>40</v>
      </c>
      <c r="W44" s="7">
        <f t="shared" si="15"/>
        <v>14000</v>
      </c>
      <c r="X44" s="7">
        <f t="shared" si="16"/>
        <v>12</v>
      </c>
      <c r="Y44" s="7">
        <f t="shared" si="17"/>
        <v>0</v>
      </c>
    </row>
    <row r="45" spans="1:25" x14ac:dyDescent="0.3">
      <c r="A45" s="2">
        <v>9</v>
      </c>
      <c r="B45" s="2" t="s">
        <v>27</v>
      </c>
      <c r="C45" s="2" t="s">
        <v>22</v>
      </c>
      <c r="D45" s="2">
        <v>4564541231</v>
      </c>
      <c r="E45" s="2" t="s">
        <v>23</v>
      </c>
      <c r="F45" s="3">
        <v>46064</v>
      </c>
      <c r="G45" s="3">
        <v>46146</v>
      </c>
      <c r="H45" s="2">
        <v>29</v>
      </c>
      <c r="I45" s="2">
        <v>40</v>
      </c>
      <c r="J45" s="2">
        <f t="shared" si="12"/>
        <v>14500</v>
      </c>
      <c r="K45" s="2">
        <f t="shared" si="13"/>
        <v>11</v>
      </c>
      <c r="L45" s="2">
        <f t="shared" si="14"/>
        <v>0</v>
      </c>
      <c r="N45" s="7">
        <v>9</v>
      </c>
      <c r="O45" s="7" t="s">
        <v>27</v>
      </c>
      <c r="P45" s="7" t="s">
        <v>22</v>
      </c>
      <c r="Q45" s="7">
        <v>4564541231</v>
      </c>
      <c r="R45" s="7" t="s">
        <v>23</v>
      </c>
      <c r="S45" s="8">
        <v>46064</v>
      </c>
      <c r="T45" s="8">
        <v>46146</v>
      </c>
      <c r="U45" s="7">
        <v>29</v>
      </c>
      <c r="V45" s="7">
        <v>40</v>
      </c>
      <c r="W45" s="7">
        <f t="shared" si="15"/>
        <v>14500</v>
      </c>
      <c r="X45" s="7">
        <f t="shared" si="16"/>
        <v>11</v>
      </c>
      <c r="Y45" s="7">
        <f t="shared" si="17"/>
        <v>0</v>
      </c>
    </row>
    <row r="46" spans="1:25" x14ac:dyDescent="0.3">
      <c r="A46" s="2">
        <v>10</v>
      </c>
      <c r="B46" s="2" t="s">
        <v>28</v>
      </c>
      <c r="C46" s="2" t="s">
        <v>29</v>
      </c>
      <c r="D46" s="2">
        <v>5458454544</v>
      </c>
      <c r="E46" s="2" t="s">
        <v>23</v>
      </c>
      <c r="F46" s="3">
        <v>46058</v>
      </c>
      <c r="G46" s="3">
        <v>46140</v>
      </c>
      <c r="H46" s="2">
        <v>23</v>
      </c>
      <c r="I46" s="2">
        <v>40</v>
      </c>
      <c r="J46" s="2">
        <f t="shared" si="12"/>
        <v>11500</v>
      </c>
      <c r="K46" s="2">
        <f t="shared" si="13"/>
        <v>17</v>
      </c>
      <c r="L46" s="2">
        <f t="shared" si="14"/>
        <v>0</v>
      </c>
      <c r="N46" s="7">
        <v>10</v>
      </c>
      <c r="O46" s="7" t="s">
        <v>28</v>
      </c>
      <c r="P46" s="7" t="s">
        <v>29</v>
      </c>
      <c r="Q46" s="7">
        <v>5458454544</v>
      </c>
      <c r="R46" s="7" t="s">
        <v>23</v>
      </c>
      <c r="S46" s="8">
        <v>46058</v>
      </c>
      <c r="T46" s="8">
        <v>46140</v>
      </c>
      <c r="U46" s="7">
        <v>23</v>
      </c>
      <c r="V46" s="7">
        <v>40</v>
      </c>
      <c r="W46" s="7">
        <f t="shared" si="15"/>
        <v>11500</v>
      </c>
      <c r="X46" s="7">
        <f t="shared" si="16"/>
        <v>17</v>
      </c>
      <c r="Y46" s="7">
        <f t="shared" si="17"/>
        <v>0</v>
      </c>
    </row>
    <row r="47" spans="1:25" x14ac:dyDescent="0.3">
      <c r="A47" s="2">
        <v>11</v>
      </c>
      <c r="B47" s="2" t="s">
        <v>30</v>
      </c>
      <c r="C47" s="2" t="s">
        <v>31</v>
      </c>
      <c r="D47" s="2">
        <v>5454554545</v>
      </c>
      <c r="E47" s="2" t="s">
        <v>26</v>
      </c>
      <c r="F47" s="3">
        <v>46059</v>
      </c>
      <c r="G47" s="3">
        <v>46141</v>
      </c>
      <c r="H47" s="2">
        <v>24</v>
      </c>
      <c r="I47" s="2">
        <v>40</v>
      </c>
      <c r="J47" s="2">
        <f t="shared" si="12"/>
        <v>12000</v>
      </c>
      <c r="K47" s="2">
        <f t="shared" si="13"/>
        <v>16</v>
      </c>
      <c r="L47" s="2">
        <f t="shared" si="14"/>
        <v>0</v>
      </c>
      <c r="N47" s="7">
        <v>11</v>
      </c>
      <c r="O47" s="7" t="s">
        <v>30</v>
      </c>
      <c r="P47" s="7" t="s">
        <v>31</v>
      </c>
      <c r="Q47" s="7">
        <v>5454554545</v>
      </c>
      <c r="R47" s="7" t="s">
        <v>26</v>
      </c>
      <c r="S47" s="8">
        <v>46059</v>
      </c>
      <c r="T47" s="8">
        <v>46141</v>
      </c>
      <c r="U47" s="7">
        <v>24</v>
      </c>
      <c r="V47" s="7">
        <v>40</v>
      </c>
      <c r="W47" s="7">
        <f t="shared" si="15"/>
        <v>12000</v>
      </c>
      <c r="X47" s="7">
        <f t="shared" si="16"/>
        <v>16</v>
      </c>
      <c r="Y47" s="7">
        <f t="shared" si="17"/>
        <v>0</v>
      </c>
    </row>
    <row r="48" spans="1:25" x14ac:dyDescent="0.3">
      <c r="A48" s="2">
        <v>12</v>
      </c>
      <c r="B48" s="2" t="s">
        <v>32</v>
      </c>
      <c r="C48" s="2" t="s">
        <v>33</v>
      </c>
      <c r="D48" s="2">
        <v>5456442323</v>
      </c>
      <c r="E48" s="2" t="s">
        <v>14</v>
      </c>
      <c r="F48" s="3">
        <v>46060</v>
      </c>
      <c r="G48" s="3">
        <v>46142</v>
      </c>
      <c r="H48" s="2">
        <v>25</v>
      </c>
      <c r="I48" s="2">
        <v>40</v>
      </c>
      <c r="J48" s="2">
        <f t="shared" si="12"/>
        <v>12500</v>
      </c>
      <c r="K48" s="2">
        <f t="shared" si="13"/>
        <v>15</v>
      </c>
      <c r="L48" s="2">
        <f t="shared" si="14"/>
        <v>0</v>
      </c>
      <c r="N48" s="7">
        <v>12</v>
      </c>
      <c r="O48" s="7" t="s">
        <v>32</v>
      </c>
      <c r="P48" s="7" t="s">
        <v>33</v>
      </c>
      <c r="Q48" s="7">
        <v>5456442323</v>
      </c>
      <c r="R48" s="7" t="s">
        <v>14</v>
      </c>
      <c r="S48" s="8">
        <v>46060</v>
      </c>
      <c r="T48" s="8">
        <v>46142</v>
      </c>
      <c r="U48" s="7">
        <v>25</v>
      </c>
      <c r="V48" s="7">
        <v>40</v>
      </c>
      <c r="W48" s="7">
        <f t="shared" si="15"/>
        <v>12500</v>
      </c>
      <c r="X48" s="7">
        <f t="shared" si="16"/>
        <v>15</v>
      </c>
      <c r="Y48" s="7">
        <f t="shared" si="17"/>
        <v>0</v>
      </c>
    </row>
    <row r="49" spans="1:25" x14ac:dyDescent="0.3">
      <c r="A49" s="2">
        <v>13</v>
      </c>
      <c r="B49" s="2" t="s">
        <v>34</v>
      </c>
      <c r="C49" s="2" t="s">
        <v>22</v>
      </c>
      <c r="D49" s="2">
        <v>7898587459</v>
      </c>
      <c r="E49" s="2" t="s">
        <v>14</v>
      </c>
      <c r="F49" s="3">
        <v>46065</v>
      </c>
      <c r="G49" s="3">
        <v>46147</v>
      </c>
      <c r="H49" s="2">
        <v>30</v>
      </c>
      <c r="I49" s="2">
        <v>40</v>
      </c>
      <c r="J49" s="2">
        <f t="shared" si="12"/>
        <v>15000</v>
      </c>
      <c r="K49" s="2">
        <f t="shared" si="13"/>
        <v>10</v>
      </c>
      <c r="L49" s="2">
        <f t="shared" si="14"/>
        <v>0</v>
      </c>
      <c r="N49" s="7">
        <v>13</v>
      </c>
      <c r="O49" s="7" t="s">
        <v>34</v>
      </c>
      <c r="P49" s="7" t="s">
        <v>22</v>
      </c>
      <c r="Q49" s="7">
        <v>7898587459</v>
      </c>
      <c r="R49" s="7" t="s">
        <v>14</v>
      </c>
      <c r="S49" s="8">
        <v>46065</v>
      </c>
      <c r="T49" s="8">
        <v>46147</v>
      </c>
      <c r="U49" s="7">
        <v>30</v>
      </c>
      <c r="V49" s="7">
        <v>40</v>
      </c>
      <c r="W49" s="7">
        <f t="shared" si="15"/>
        <v>15000</v>
      </c>
      <c r="X49" s="7">
        <f t="shared" si="16"/>
        <v>10</v>
      </c>
      <c r="Y49" s="7">
        <f t="shared" si="17"/>
        <v>0</v>
      </c>
    </row>
    <row r="50" spans="1:25" x14ac:dyDescent="0.3">
      <c r="A50" s="2">
        <v>14</v>
      </c>
      <c r="B50" s="2" t="s">
        <v>35</v>
      </c>
      <c r="C50" s="2" t="s">
        <v>22</v>
      </c>
      <c r="D50" s="2">
        <v>7989776846</v>
      </c>
      <c r="E50" s="2" t="s">
        <v>26</v>
      </c>
      <c r="F50" s="3">
        <v>46066</v>
      </c>
      <c r="G50" s="3">
        <v>46148</v>
      </c>
      <c r="H50" s="2">
        <v>31</v>
      </c>
      <c r="I50" s="2">
        <v>40</v>
      </c>
      <c r="J50" s="2">
        <f t="shared" si="12"/>
        <v>15500</v>
      </c>
      <c r="K50" s="2">
        <f t="shared" si="13"/>
        <v>9</v>
      </c>
      <c r="L50" s="2">
        <f t="shared" si="14"/>
        <v>0</v>
      </c>
      <c r="N50" s="7">
        <v>14</v>
      </c>
      <c r="O50" s="7" t="s">
        <v>35</v>
      </c>
      <c r="P50" s="7" t="s">
        <v>22</v>
      </c>
      <c r="Q50" s="7">
        <v>7989776846</v>
      </c>
      <c r="R50" s="7" t="s">
        <v>26</v>
      </c>
      <c r="S50" s="8">
        <v>46066</v>
      </c>
      <c r="T50" s="8">
        <v>46148</v>
      </c>
      <c r="U50" s="7">
        <v>31</v>
      </c>
      <c r="V50" s="7">
        <v>40</v>
      </c>
      <c r="W50" s="7">
        <f t="shared" si="15"/>
        <v>15500</v>
      </c>
      <c r="X50" s="7">
        <f t="shared" si="16"/>
        <v>9</v>
      </c>
      <c r="Y50" s="7">
        <f t="shared" si="17"/>
        <v>0</v>
      </c>
    </row>
    <row r="51" spans="1:25" x14ac:dyDescent="0.3">
      <c r="A51" s="2">
        <v>15</v>
      </c>
      <c r="B51" s="2" t="s">
        <v>36</v>
      </c>
      <c r="C51" s="2" t="s">
        <v>37</v>
      </c>
      <c r="D51" s="2">
        <v>9999999999</v>
      </c>
      <c r="E51" s="2" t="s">
        <v>18</v>
      </c>
      <c r="F51" s="3">
        <v>46061</v>
      </c>
      <c r="G51" s="3">
        <v>46143</v>
      </c>
      <c r="H51" s="2">
        <v>26</v>
      </c>
      <c r="I51" s="2">
        <v>40</v>
      </c>
      <c r="J51" s="2">
        <f t="shared" si="12"/>
        <v>13000</v>
      </c>
      <c r="K51" s="2">
        <f t="shared" si="13"/>
        <v>14</v>
      </c>
      <c r="L51" s="2">
        <f t="shared" si="14"/>
        <v>0</v>
      </c>
      <c r="N51" s="7">
        <v>15</v>
      </c>
      <c r="O51" s="7" t="s">
        <v>36</v>
      </c>
      <c r="P51" s="7" t="s">
        <v>37</v>
      </c>
      <c r="Q51" s="7">
        <v>9999999999</v>
      </c>
      <c r="R51" s="7" t="s">
        <v>18</v>
      </c>
      <c r="S51" s="8">
        <v>46061</v>
      </c>
      <c r="T51" s="8">
        <v>46143</v>
      </c>
      <c r="U51" s="7">
        <v>26</v>
      </c>
      <c r="V51" s="7">
        <v>40</v>
      </c>
      <c r="W51" s="7">
        <f t="shared" si="15"/>
        <v>13000</v>
      </c>
      <c r="X51" s="7">
        <f t="shared" si="16"/>
        <v>14</v>
      </c>
      <c r="Y51" s="7">
        <f t="shared" si="17"/>
        <v>0</v>
      </c>
    </row>
    <row r="53" spans="1:25" x14ac:dyDescent="0.3">
      <c r="A53" s="5" t="s">
        <v>0</v>
      </c>
      <c r="B53" s="2">
        <v>1</v>
      </c>
      <c r="C53" s="2">
        <v>2</v>
      </c>
      <c r="D53" s="2">
        <v>3</v>
      </c>
      <c r="E53" s="2">
        <v>4</v>
      </c>
      <c r="F53" s="2">
        <v>5</v>
      </c>
      <c r="G53" s="2">
        <v>6</v>
      </c>
      <c r="H53" s="2">
        <v>7</v>
      </c>
      <c r="I53" s="2">
        <v>8</v>
      </c>
      <c r="J53" s="2">
        <v>9</v>
      </c>
      <c r="K53" s="2">
        <v>10</v>
      </c>
      <c r="L53" s="2">
        <v>11</v>
      </c>
      <c r="M53" s="2">
        <v>12</v>
      </c>
      <c r="N53" s="2">
        <v>13</v>
      </c>
      <c r="O53" s="2">
        <v>14</v>
      </c>
      <c r="P53" s="2">
        <v>15</v>
      </c>
    </row>
    <row r="54" spans="1:25" x14ac:dyDescent="0.3">
      <c r="A54" s="5" t="s">
        <v>1</v>
      </c>
      <c r="B54" s="2" t="s">
        <v>12</v>
      </c>
      <c r="C54" s="2" t="s">
        <v>15</v>
      </c>
      <c r="D54" s="2" t="s">
        <v>16</v>
      </c>
      <c r="E54" s="2" t="s">
        <v>17</v>
      </c>
      <c r="F54" s="2" t="s">
        <v>19</v>
      </c>
      <c r="G54" s="2" t="s">
        <v>21</v>
      </c>
      <c r="H54" s="2" t="s">
        <v>24</v>
      </c>
      <c r="I54" s="2" t="s">
        <v>25</v>
      </c>
      <c r="J54" s="2" t="s">
        <v>27</v>
      </c>
      <c r="K54" s="2" t="s">
        <v>28</v>
      </c>
      <c r="L54" s="2" t="s">
        <v>30</v>
      </c>
      <c r="M54" s="2" t="s">
        <v>32</v>
      </c>
      <c r="N54" s="2" t="s">
        <v>34</v>
      </c>
      <c r="O54" s="2" t="s">
        <v>35</v>
      </c>
      <c r="P54" s="2" t="s">
        <v>36</v>
      </c>
    </row>
    <row r="55" spans="1:25" x14ac:dyDescent="0.3">
      <c r="A55" s="5" t="s">
        <v>2</v>
      </c>
      <c r="B55" s="2" t="s">
        <v>13</v>
      </c>
      <c r="C55" s="2" t="s">
        <v>13</v>
      </c>
      <c r="D55" s="2" t="s">
        <v>13</v>
      </c>
      <c r="E55" s="2" t="s">
        <v>13</v>
      </c>
      <c r="F55" s="2" t="s">
        <v>20</v>
      </c>
      <c r="G55" s="2" t="s">
        <v>22</v>
      </c>
      <c r="H55" s="2" t="s">
        <v>20</v>
      </c>
      <c r="I55" s="2" t="s">
        <v>22</v>
      </c>
      <c r="J55" s="2" t="s">
        <v>22</v>
      </c>
      <c r="K55" s="2" t="s">
        <v>29</v>
      </c>
      <c r="L55" s="2" t="s">
        <v>31</v>
      </c>
      <c r="M55" s="2" t="s">
        <v>33</v>
      </c>
      <c r="N55" s="2" t="s">
        <v>22</v>
      </c>
      <c r="O55" s="2" t="s">
        <v>22</v>
      </c>
      <c r="P55" s="2" t="s">
        <v>37</v>
      </c>
    </row>
    <row r="56" spans="1:25" x14ac:dyDescent="0.3">
      <c r="A56" s="4" t="s">
        <v>3</v>
      </c>
      <c r="B56" s="2">
        <v>8210089387</v>
      </c>
      <c r="C56" s="2">
        <v>8413822231</v>
      </c>
      <c r="D56" s="2">
        <v>8413889387</v>
      </c>
      <c r="E56" s="2">
        <v>9955172172</v>
      </c>
      <c r="F56" s="2">
        <v>9546646608</v>
      </c>
      <c r="G56" s="2">
        <v>4546212454</v>
      </c>
      <c r="H56" s="2">
        <v>7763817656</v>
      </c>
      <c r="I56" s="2">
        <v>9934775810</v>
      </c>
      <c r="J56" s="2">
        <v>4564541231</v>
      </c>
      <c r="K56" s="2">
        <v>5458454544</v>
      </c>
      <c r="L56" s="2">
        <v>5454554545</v>
      </c>
      <c r="M56" s="2">
        <v>5456442323</v>
      </c>
      <c r="N56" s="2">
        <v>7898587459</v>
      </c>
      <c r="O56" s="2">
        <v>7989776846</v>
      </c>
      <c r="P56" s="2">
        <v>9999999999</v>
      </c>
    </row>
    <row r="57" spans="1:25" x14ac:dyDescent="0.3">
      <c r="A57" s="4" t="s">
        <v>4</v>
      </c>
      <c r="B57" s="2" t="s">
        <v>14</v>
      </c>
      <c r="C57" s="2" t="s">
        <v>14</v>
      </c>
      <c r="D57" s="2" t="s">
        <v>14</v>
      </c>
      <c r="E57" s="2" t="s">
        <v>18</v>
      </c>
      <c r="F57" s="2" t="s">
        <v>14</v>
      </c>
      <c r="G57" s="2" t="s">
        <v>23</v>
      </c>
      <c r="H57" s="2" t="s">
        <v>23</v>
      </c>
      <c r="I57" s="2" t="s">
        <v>26</v>
      </c>
      <c r="J57" s="2" t="s">
        <v>23</v>
      </c>
      <c r="K57" s="2" t="s">
        <v>23</v>
      </c>
      <c r="L57" s="2" t="s">
        <v>26</v>
      </c>
      <c r="M57" s="2" t="s">
        <v>14</v>
      </c>
      <c r="N57" s="2" t="s">
        <v>14</v>
      </c>
      <c r="O57" s="2" t="s">
        <v>26</v>
      </c>
      <c r="P57" s="2" t="s">
        <v>18</v>
      </c>
    </row>
    <row r="58" spans="1:25" x14ac:dyDescent="0.3">
      <c r="A58" s="4" t="s">
        <v>5</v>
      </c>
      <c r="B58" s="3">
        <v>46054</v>
      </c>
      <c r="C58" s="3">
        <v>46054</v>
      </c>
      <c r="D58" s="3">
        <v>46054</v>
      </c>
      <c r="E58" s="3">
        <v>46055</v>
      </c>
      <c r="F58" s="3">
        <v>46056</v>
      </c>
      <c r="G58" s="3">
        <v>46057</v>
      </c>
      <c r="H58" s="3">
        <v>46062</v>
      </c>
      <c r="I58" s="3">
        <v>46063</v>
      </c>
      <c r="J58" s="3">
        <v>46064</v>
      </c>
      <c r="K58" s="3">
        <v>46058</v>
      </c>
      <c r="L58" s="3">
        <v>46059</v>
      </c>
      <c r="M58" s="3">
        <v>46060</v>
      </c>
      <c r="N58" s="3">
        <v>46065</v>
      </c>
      <c r="O58" s="3">
        <v>46066</v>
      </c>
      <c r="P58" s="3">
        <v>46061</v>
      </c>
    </row>
    <row r="59" spans="1:25" x14ac:dyDescent="0.3">
      <c r="A59" s="4" t="s">
        <v>6</v>
      </c>
      <c r="B59" s="3">
        <v>46139</v>
      </c>
      <c r="C59" s="3">
        <v>46139</v>
      </c>
      <c r="D59" s="3">
        <v>46139</v>
      </c>
      <c r="E59" s="3">
        <v>46137</v>
      </c>
      <c r="F59" s="3">
        <v>46138</v>
      </c>
      <c r="G59" s="3">
        <v>46139</v>
      </c>
      <c r="H59" s="3">
        <v>46144</v>
      </c>
      <c r="I59" s="3">
        <v>46145</v>
      </c>
      <c r="J59" s="3">
        <v>46146</v>
      </c>
      <c r="K59" s="3">
        <v>46140</v>
      </c>
      <c r="L59" s="3">
        <v>46141</v>
      </c>
      <c r="M59" s="3">
        <v>46142</v>
      </c>
      <c r="N59" s="3">
        <v>46147</v>
      </c>
      <c r="O59" s="3">
        <v>46148</v>
      </c>
      <c r="P59" s="3">
        <v>46143</v>
      </c>
    </row>
    <row r="60" spans="1:25" x14ac:dyDescent="0.3">
      <c r="A60" s="4" t="s">
        <v>7</v>
      </c>
      <c r="B60" s="2">
        <v>40</v>
      </c>
      <c r="C60" s="2">
        <v>39</v>
      </c>
      <c r="D60" s="2">
        <v>39</v>
      </c>
      <c r="E60" s="2">
        <v>20</v>
      </c>
      <c r="F60" s="2">
        <v>21</v>
      </c>
      <c r="G60" s="2">
        <v>22</v>
      </c>
      <c r="H60" s="2">
        <v>27</v>
      </c>
      <c r="I60" s="2">
        <v>28</v>
      </c>
      <c r="J60" s="2">
        <v>29</v>
      </c>
      <c r="K60" s="2">
        <v>23</v>
      </c>
      <c r="L60" s="2">
        <v>24</v>
      </c>
      <c r="M60" s="2">
        <v>25</v>
      </c>
      <c r="N60" s="2">
        <v>30</v>
      </c>
      <c r="O60" s="2">
        <v>31</v>
      </c>
      <c r="P60" s="2">
        <v>26</v>
      </c>
    </row>
    <row r="61" spans="1:25" x14ac:dyDescent="0.3">
      <c r="A61" s="4" t="s">
        <v>8</v>
      </c>
      <c r="B61" s="2">
        <v>40</v>
      </c>
      <c r="C61" s="2">
        <v>40</v>
      </c>
      <c r="D61" s="2">
        <v>40</v>
      </c>
      <c r="E61" s="2">
        <v>40</v>
      </c>
      <c r="F61" s="2">
        <v>40</v>
      </c>
      <c r="G61" s="2">
        <v>40</v>
      </c>
      <c r="H61" s="2">
        <v>40</v>
      </c>
      <c r="I61" s="2">
        <v>40</v>
      </c>
      <c r="J61" s="2">
        <v>40</v>
      </c>
      <c r="K61" s="2">
        <v>40</v>
      </c>
      <c r="L61" s="2">
        <v>40</v>
      </c>
      <c r="M61" s="2">
        <v>40</v>
      </c>
      <c r="N61" s="2">
        <v>40</v>
      </c>
      <c r="O61" s="2">
        <v>40</v>
      </c>
      <c r="P61" s="2">
        <v>40</v>
      </c>
    </row>
    <row r="62" spans="1:25" x14ac:dyDescent="0.3">
      <c r="A62" s="4" t="s">
        <v>9</v>
      </c>
      <c r="B62" s="2">
        <f>B60*500</f>
        <v>20000</v>
      </c>
      <c r="C62" s="2">
        <f>C60*500</f>
        <v>19500</v>
      </c>
      <c r="D62" s="2">
        <f>D60*500</f>
        <v>19500</v>
      </c>
      <c r="E62" s="2">
        <f>E60*500</f>
        <v>10000</v>
      </c>
      <c r="F62" s="2">
        <f>F60*500</f>
        <v>10500</v>
      </c>
      <c r="G62" s="2">
        <f>G60*500</f>
        <v>11000</v>
      </c>
      <c r="H62" s="2">
        <f>H60*500</f>
        <v>13500</v>
      </c>
      <c r="I62" s="2">
        <f>I60*500</f>
        <v>14000</v>
      </c>
      <c r="J62" s="2">
        <f>J60*500</f>
        <v>14500</v>
      </c>
      <c r="K62" s="2">
        <f>K60*500</f>
        <v>11500</v>
      </c>
      <c r="L62" s="2">
        <f>L60*500</f>
        <v>12000</v>
      </c>
      <c r="M62" s="2">
        <f>M60*500</f>
        <v>12500</v>
      </c>
      <c r="N62" s="2">
        <f>N60*500</f>
        <v>15000</v>
      </c>
      <c r="O62" s="2">
        <f>O60*500</f>
        <v>15500</v>
      </c>
      <c r="P62" s="2">
        <f>P60*500</f>
        <v>13000</v>
      </c>
    </row>
    <row r="63" spans="1:25" x14ac:dyDescent="0.3">
      <c r="A63" s="4" t="s">
        <v>10</v>
      </c>
      <c r="B63" s="2">
        <f>B61-B60</f>
        <v>0</v>
      </c>
      <c r="C63" s="2">
        <f>C61-C60</f>
        <v>1</v>
      </c>
      <c r="D63" s="2">
        <f>D61-D60</f>
        <v>1</v>
      </c>
      <c r="E63" s="2">
        <f>E61-E60</f>
        <v>20</v>
      </c>
      <c r="F63" s="2">
        <f>F61-F60</f>
        <v>19</v>
      </c>
      <c r="G63" s="2">
        <f>G61-G60</f>
        <v>18</v>
      </c>
      <c r="H63" s="2">
        <f>H61-H60</f>
        <v>13</v>
      </c>
      <c r="I63" s="2">
        <f>I61-I60</f>
        <v>12</v>
      </c>
      <c r="J63" s="2">
        <f>J61-J60</f>
        <v>11</v>
      </c>
      <c r="K63" s="2">
        <f>K61-K60</f>
        <v>17</v>
      </c>
      <c r="L63" s="2">
        <f>L61-L60</f>
        <v>16</v>
      </c>
      <c r="M63" s="2">
        <f>M61-M60</f>
        <v>15</v>
      </c>
      <c r="N63" s="2">
        <f>N61-N60</f>
        <v>10</v>
      </c>
      <c r="O63" s="2">
        <f>O61-O60</f>
        <v>9</v>
      </c>
      <c r="P63" s="2">
        <f>P61-P60</f>
        <v>14</v>
      </c>
    </row>
    <row r="64" spans="1:25" x14ac:dyDescent="0.3">
      <c r="A64" s="4" t="s">
        <v>11</v>
      </c>
      <c r="B64" s="2">
        <f>IF(B60&gt;35,5000,0)</f>
        <v>5000</v>
      </c>
      <c r="C64" s="2">
        <f>IF(C60&gt;35,5000,0)</f>
        <v>5000</v>
      </c>
      <c r="D64" s="2">
        <f>IF(D60&gt;35,5000,0)</f>
        <v>5000</v>
      </c>
      <c r="E64" s="2">
        <f>IF(E60&gt;35,5000,0)</f>
        <v>0</v>
      </c>
      <c r="F64" s="2">
        <f>IF(F60&gt;35,5000,0)</f>
        <v>0</v>
      </c>
      <c r="G64" s="2">
        <f>IF(G60&gt;35,5000,0)</f>
        <v>0</v>
      </c>
      <c r="H64" s="2">
        <f>IF(H60&gt;35,5000,0)</f>
        <v>0</v>
      </c>
      <c r="I64" s="2">
        <f>IF(I60&gt;35,5000,0)</f>
        <v>0</v>
      </c>
      <c r="J64" s="2">
        <f>IF(J60&gt;35,5000,0)</f>
        <v>0</v>
      </c>
      <c r="K64" s="2">
        <f>IF(K60&gt;35,5000,0)</f>
        <v>0</v>
      </c>
      <c r="L64" s="2">
        <f>IF(L60&gt;35,5000,0)</f>
        <v>0</v>
      </c>
      <c r="M64" s="2">
        <f>IF(M60&gt;35,5000,0)</f>
        <v>0</v>
      </c>
      <c r="N64" s="2">
        <f>IF(N60&gt;35,5000,0)</f>
        <v>0</v>
      </c>
      <c r="O64" s="2">
        <f>IF(O60&gt;35,5000,0)</f>
        <v>0</v>
      </c>
      <c r="P64" s="2">
        <f>IF(P60&gt;35,5000,0)</f>
        <v>0</v>
      </c>
    </row>
    <row r="66" spans="1:12" x14ac:dyDescent="0.3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6</v>
      </c>
      <c r="H66" t="s">
        <v>7</v>
      </c>
      <c r="I66" t="s">
        <v>8</v>
      </c>
      <c r="J66" t="s">
        <v>9</v>
      </c>
      <c r="K66" t="s">
        <v>10</v>
      </c>
      <c r="L66" t="s">
        <v>11</v>
      </c>
    </row>
    <row r="67" spans="1:12" x14ac:dyDescent="0.3">
      <c r="A67">
        <v>1</v>
      </c>
      <c r="B67" t="s">
        <v>12</v>
      </c>
      <c r="C67" t="s">
        <v>13</v>
      </c>
      <c r="D67">
        <v>8210089387</v>
      </c>
      <c r="E67" t="s">
        <v>14</v>
      </c>
      <c r="F67">
        <v>46054</v>
      </c>
      <c r="G67">
        <v>46139</v>
      </c>
      <c r="H67">
        <v>40</v>
      </c>
      <c r="I67">
        <v>40</v>
      </c>
      <c r="J67">
        <v>20000</v>
      </c>
      <c r="K67">
        <v>0</v>
      </c>
      <c r="L67">
        <v>5000</v>
      </c>
    </row>
    <row r="68" spans="1:12" x14ac:dyDescent="0.3">
      <c r="A68">
        <v>2</v>
      </c>
      <c r="B68" t="s">
        <v>15</v>
      </c>
      <c r="C68" t="s">
        <v>13</v>
      </c>
      <c r="D68">
        <v>8413822231</v>
      </c>
      <c r="E68" t="s">
        <v>14</v>
      </c>
      <c r="F68">
        <v>46054</v>
      </c>
      <c r="G68">
        <v>46139</v>
      </c>
      <c r="H68">
        <v>39</v>
      </c>
      <c r="I68">
        <v>40</v>
      </c>
      <c r="J68">
        <v>19500</v>
      </c>
      <c r="K68">
        <v>1</v>
      </c>
      <c r="L68">
        <v>5000</v>
      </c>
    </row>
    <row r="69" spans="1:12" x14ac:dyDescent="0.3">
      <c r="A69">
        <v>3</v>
      </c>
      <c r="B69" t="s">
        <v>16</v>
      </c>
      <c r="C69" t="s">
        <v>13</v>
      </c>
      <c r="D69">
        <v>8413889387</v>
      </c>
      <c r="E69" t="s">
        <v>14</v>
      </c>
      <c r="F69">
        <v>46054</v>
      </c>
      <c r="G69">
        <v>46139</v>
      </c>
      <c r="H69">
        <v>39</v>
      </c>
      <c r="I69">
        <v>40</v>
      </c>
      <c r="J69">
        <v>19500</v>
      </c>
      <c r="K69">
        <v>1</v>
      </c>
      <c r="L69">
        <v>5000</v>
      </c>
    </row>
    <row r="70" spans="1:12" x14ac:dyDescent="0.3">
      <c r="A70">
        <v>4</v>
      </c>
      <c r="B70" t="s">
        <v>17</v>
      </c>
      <c r="C70" t="s">
        <v>13</v>
      </c>
      <c r="D70">
        <v>9955172172</v>
      </c>
      <c r="E70" t="s">
        <v>18</v>
      </c>
      <c r="F70">
        <v>46055</v>
      </c>
      <c r="G70">
        <v>46137</v>
      </c>
      <c r="H70">
        <v>20</v>
      </c>
      <c r="I70">
        <v>40</v>
      </c>
      <c r="J70">
        <v>10000</v>
      </c>
      <c r="K70">
        <v>20</v>
      </c>
      <c r="L70">
        <v>0</v>
      </c>
    </row>
    <row r="71" spans="1:12" x14ac:dyDescent="0.3">
      <c r="A71">
        <v>5</v>
      </c>
      <c r="B71" t="s">
        <v>19</v>
      </c>
      <c r="C71" t="s">
        <v>20</v>
      </c>
      <c r="D71">
        <v>9546646608</v>
      </c>
      <c r="E71" t="s">
        <v>14</v>
      </c>
      <c r="F71">
        <v>46056</v>
      </c>
      <c r="G71">
        <v>46138</v>
      </c>
      <c r="H71">
        <v>21</v>
      </c>
      <c r="I71">
        <v>40</v>
      </c>
      <c r="J71">
        <v>10500</v>
      </c>
      <c r="K71">
        <v>19</v>
      </c>
      <c r="L71">
        <v>0</v>
      </c>
    </row>
    <row r="72" spans="1:12" x14ac:dyDescent="0.3">
      <c r="A72">
        <v>6</v>
      </c>
      <c r="B72" t="s">
        <v>21</v>
      </c>
      <c r="C72" t="s">
        <v>22</v>
      </c>
      <c r="D72">
        <v>4546212454</v>
      </c>
      <c r="E72" t="s">
        <v>23</v>
      </c>
      <c r="F72">
        <v>46057</v>
      </c>
      <c r="G72">
        <v>46139</v>
      </c>
      <c r="H72">
        <v>22</v>
      </c>
      <c r="I72">
        <v>40</v>
      </c>
      <c r="J72">
        <v>11000</v>
      </c>
      <c r="K72">
        <v>18</v>
      </c>
      <c r="L72">
        <v>0</v>
      </c>
    </row>
    <row r="73" spans="1:12" x14ac:dyDescent="0.3">
      <c r="A73">
        <v>7</v>
      </c>
      <c r="B73" t="s">
        <v>24</v>
      </c>
      <c r="C73" t="s">
        <v>20</v>
      </c>
      <c r="D73">
        <v>7763817656</v>
      </c>
      <c r="E73" t="s">
        <v>23</v>
      </c>
      <c r="F73">
        <v>46062</v>
      </c>
      <c r="G73">
        <v>46144</v>
      </c>
      <c r="H73">
        <v>27</v>
      </c>
      <c r="I73">
        <v>40</v>
      </c>
      <c r="J73">
        <v>13500</v>
      </c>
      <c r="K73">
        <v>13</v>
      </c>
      <c r="L73">
        <v>0</v>
      </c>
    </row>
    <row r="74" spans="1:12" x14ac:dyDescent="0.3">
      <c r="A74">
        <v>8</v>
      </c>
      <c r="B74" t="s">
        <v>25</v>
      </c>
      <c r="C74" t="s">
        <v>22</v>
      </c>
      <c r="D74">
        <v>9934775810</v>
      </c>
      <c r="E74" t="s">
        <v>26</v>
      </c>
      <c r="F74">
        <v>46063</v>
      </c>
      <c r="G74">
        <v>46145</v>
      </c>
      <c r="H74">
        <v>28</v>
      </c>
      <c r="I74">
        <v>40</v>
      </c>
      <c r="J74">
        <v>14000</v>
      </c>
      <c r="K74">
        <v>12</v>
      </c>
      <c r="L74">
        <v>0</v>
      </c>
    </row>
    <row r="75" spans="1:12" x14ac:dyDescent="0.3">
      <c r="A75">
        <v>9</v>
      </c>
      <c r="B75" t="s">
        <v>27</v>
      </c>
      <c r="C75" t="s">
        <v>22</v>
      </c>
      <c r="D75">
        <v>4564541231</v>
      </c>
      <c r="E75" t="s">
        <v>23</v>
      </c>
      <c r="F75">
        <v>46064</v>
      </c>
      <c r="G75">
        <v>46146</v>
      </c>
      <c r="H75">
        <v>29</v>
      </c>
      <c r="I75">
        <v>40</v>
      </c>
      <c r="J75">
        <v>14500</v>
      </c>
      <c r="K75">
        <v>11</v>
      </c>
      <c r="L75">
        <v>0</v>
      </c>
    </row>
    <row r="76" spans="1:12" x14ac:dyDescent="0.3">
      <c r="A76">
        <v>10</v>
      </c>
      <c r="B76" t="s">
        <v>28</v>
      </c>
      <c r="C76" t="s">
        <v>29</v>
      </c>
      <c r="D76">
        <v>5458454544</v>
      </c>
      <c r="E76" t="s">
        <v>23</v>
      </c>
      <c r="F76">
        <v>46058</v>
      </c>
      <c r="G76">
        <v>46140</v>
      </c>
      <c r="H76">
        <v>23</v>
      </c>
      <c r="I76">
        <v>40</v>
      </c>
      <c r="J76">
        <v>11500</v>
      </c>
      <c r="K76">
        <v>17</v>
      </c>
      <c r="L76">
        <v>0</v>
      </c>
    </row>
    <row r="77" spans="1:12" x14ac:dyDescent="0.3">
      <c r="A77">
        <v>11</v>
      </c>
      <c r="B77" t="s">
        <v>30</v>
      </c>
      <c r="C77" t="s">
        <v>31</v>
      </c>
      <c r="D77">
        <v>5454554545</v>
      </c>
      <c r="E77" t="s">
        <v>26</v>
      </c>
      <c r="F77">
        <v>46059</v>
      </c>
      <c r="G77">
        <v>46141</v>
      </c>
      <c r="H77">
        <v>24</v>
      </c>
      <c r="I77">
        <v>40</v>
      </c>
      <c r="J77">
        <v>12000</v>
      </c>
      <c r="K77">
        <v>16</v>
      </c>
      <c r="L77">
        <v>0</v>
      </c>
    </row>
    <row r="78" spans="1:12" x14ac:dyDescent="0.3">
      <c r="A78">
        <v>12</v>
      </c>
      <c r="B78" t="s">
        <v>32</v>
      </c>
      <c r="C78" t="s">
        <v>33</v>
      </c>
      <c r="D78">
        <v>5456442323</v>
      </c>
      <c r="E78" t="s">
        <v>14</v>
      </c>
      <c r="F78">
        <v>46060</v>
      </c>
      <c r="G78">
        <v>46142</v>
      </c>
      <c r="H78">
        <v>25</v>
      </c>
      <c r="I78">
        <v>40</v>
      </c>
      <c r="J78">
        <v>12500</v>
      </c>
      <c r="K78">
        <v>15</v>
      </c>
      <c r="L78">
        <v>0</v>
      </c>
    </row>
    <row r="79" spans="1:12" x14ac:dyDescent="0.3">
      <c r="A79">
        <v>13</v>
      </c>
      <c r="B79" t="s">
        <v>34</v>
      </c>
      <c r="C79" t="s">
        <v>22</v>
      </c>
      <c r="D79">
        <v>7898587459</v>
      </c>
      <c r="E79" t="s">
        <v>14</v>
      </c>
      <c r="F79">
        <v>46065</v>
      </c>
      <c r="G79">
        <v>46147</v>
      </c>
      <c r="H79">
        <v>30</v>
      </c>
      <c r="I79">
        <v>40</v>
      </c>
      <c r="J79">
        <v>15000</v>
      </c>
      <c r="K79">
        <v>10</v>
      </c>
      <c r="L79">
        <v>0</v>
      </c>
    </row>
    <row r="80" spans="1:12" x14ac:dyDescent="0.3">
      <c r="A80">
        <v>14</v>
      </c>
      <c r="B80" t="s">
        <v>35</v>
      </c>
      <c r="C80" t="s">
        <v>22</v>
      </c>
      <c r="D80">
        <v>7989776846</v>
      </c>
      <c r="E80" t="s">
        <v>26</v>
      </c>
      <c r="F80">
        <v>46066</v>
      </c>
      <c r="G80">
        <v>46148</v>
      </c>
      <c r="H80">
        <v>31</v>
      </c>
      <c r="I80">
        <v>40</v>
      </c>
      <c r="J80">
        <v>15500</v>
      </c>
      <c r="K80">
        <v>9</v>
      </c>
      <c r="L80">
        <v>0</v>
      </c>
    </row>
    <row r="81" spans="1:25" x14ac:dyDescent="0.3">
      <c r="A81">
        <v>15</v>
      </c>
      <c r="B81" t="s">
        <v>36</v>
      </c>
      <c r="C81" t="s">
        <v>37</v>
      </c>
      <c r="D81">
        <v>9999999999</v>
      </c>
      <c r="E81" t="s">
        <v>18</v>
      </c>
      <c r="F81">
        <v>46061</v>
      </c>
      <c r="G81">
        <v>46143</v>
      </c>
      <c r="H81">
        <v>26</v>
      </c>
      <c r="I81">
        <v>40</v>
      </c>
      <c r="J81">
        <v>13000</v>
      </c>
      <c r="K81">
        <v>14</v>
      </c>
      <c r="L81">
        <v>0</v>
      </c>
    </row>
    <row r="83" spans="1:25" x14ac:dyDescent="0.3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H83" t="s">
        <v>7</v>
      </c>
      <c r="I83" t="s">
        <v>8</v>
      </c>
      <c r="J83" t="s">
        <v>9</v>
      </c>
      <c r="K83" t="s">
        <v>10</v>
      </c>
      <c r="L83" t="s">
        <v>11</v>
      </c>
      <c r="N83" s="5" t="s">
        <v>0</v>
      </c>
      <c r="O83" s="5" t="s">
        <v>1</v>
      </c>
      <c r="P83" s="5" t="s">
        <v>2</v>
      </c>
      <c r="Q83" s="4" t="s">
        <v>3</v>
      </c>
      <c r="R83" s="4" t="s">
        <v>4</v>
      </c>
      <c r="S83" s="4" t="s">
        <v>5</v>
      </c>
      <c r="T83" s="4" t="s">
        <v>6</v>
      </c>
      <c r="U83" s="4" t="s">
        <v>7</v>
      </c>
      <c r="V83" s="4" t="s">
        <v>8</v>
      </c>
      <c r="W83" s="4" t="s">
        <v>9</v>
      </c>
      <c r="X83" s="4" t="s">
        <v>10</v>
      </c>
      <c r="Y83" s="4" t="s">
        <v>11</v>
      </c>
    </row>
    <row r="84" spans="1:25" x14ac:dyDescent="0.3">
      <c r="A84">
        <v>1</v>
      </c>
      <c r="B84" t="s">
        <v>12</v>
      </c>
      <c r="C84" t="s">
        <v>13</v>
      </c>
      <c r="D84">
        <v>8210089387</v>
      </c>
      <c r="E84" t="s">
        <v>14</v>
      </c>
      <c r="F84" s="1">
        <v>46054</v>
      </c>
      <c r="G84" s="1">
        <v>46139</v>
      </c>
      <c r="H84">
        <v>40</v>
      </c>
      <c r="I84">
        <v>40</v>
      </c>
      <c r="J84">
        <v>20000</v>
      </c>
      <c r="K84">
        <v>0</v>
      </c>
      <c r="L84">
        <v>5000</v>
      </c>
      <c r="N84" s="2">
        <v>1</v>
      </c>
      <c r="O84" s="2" t="s">
        <v>12</v>
      </c>
      <c r="P84" s="2" t="s">
        <v>13</v>
      </c>
      <c r="Q84" s="2">
        <v>8210089387</v>
      </c>
      <c r="R84" s="2" t="s">
        <v>14</v>
      </c>
      <c r="S84" s="3">
        <v>46054</v>
      </c>
      <c r="T84" s="3">
        <v>46139</v>
      </c>
      <c r="U84" s="2">
        <v>40</v>
      </c>
      <c r="V84" s="2">
        <v>40</v>
      </c>
      <c r="W84" s="2">
        <v>20000</v>
      </c>
      <c r="X84" s="2">
        <v>0</v>
      </c>
      <c r="Y84" s="2">
        <v>5000</v>
      </c>
    </row>
    <row r="85" spans="1:25" x14ac:dyDescent="0.3">
      <c r="A85">
        <v>2</v>
      </c>
      <c r="B85" t="s">
        <v>15</v>
      </c>
      <c r="C85" t="s">
        <v>13</v>
      </c>
      <c r="D85">
        <v>8413822231</v>
      </c>
      <c r="E85" t="s">
        <v>14</v>
      </c>
      <c r="F85" s="1">
        <v>46054</v>
      </c>
      <c r="G85" s="1">
        <v>46139</v>
      </c>
      <c r="H85">
        <v>39</v>
      </c>
      <c r="I85">
        <v>40</v>
      </c>
      <c r="J85">
        <v>19500</v>
      </c>
      <c r="K85">
        <v>1</v>
      </c>
      <c r="L85">
        <v>5000</v>
      </c>
      <c r="N85" s="2">
        <v>2</v>
      </c>
      <c r="O85" s="2" t="s">
        <v>15</v>
      </c>
      <c r="P85" s="2" t="s">
        <v>13</v>
      </c>
      <c r="Q85" s="2">
        <v>8413822231</v>
      </c>
      <c r="R85" s="2" t="s">
        <v>14</v>
      </c>
      <c r="S85" s="3">
        <v>46054</v>
      </c>
      <c r="T85" s="3">
        <v>46139</v>
      </c>
      <c r="U85" s="2">
        <v>39</v>
      </c>
      <c r="V85" s="2">
        <v>40</v>
      </c>
      <c r="W85" s="2">
        <v>19500</v>
      </c>
      <c r="X85" s="2">
        <v>1</v>
      </c>
      <c r="Y85" s="2">
        <v>5000</v>
      </c>
    </row>
    <row r="86" spans="1:25" x14ac:dyDescent="0.3">
      <c r="A86">
        <v>3</v>
      </c>
      <c r="B86" t="s">
        <v>16</v>
      </c>
      <c r="C86" t="s">
        <v>13</v>
      </c>
      <c r="D86">
        <v>8413889387</v>
      </c>
      <c r="E86" t="s">
        <v>14</v>
      </c>
      <c r="F86" s="1">
        <v>46054</v>
      </c>
      <c r="G86" s="1">
        <v>46139</v>
      </c>
      <c r="H86">
        <v>39</v>
      </c>
      <c r="I86">
        <v>40</v>
      </c>
      <c r="J86">
        <v>19500</v>
      </c>
      <c r="K86">
        <v>1</v>
      </c>
      <c r="L86">
        <v>5000</v>
      </c>
      <c r="N86" s="2">
        <v>3</v>
      </c>
      <c r="O86" s="2" t="s">
        <v>16</v>
      </c>
      <c r="P86" s="2" t="s">
        <v>13</v>
      </c>
      <c r="Q86" s="2">
        <v>8413889387</v>
      </c>
      <c r="R86" s="2" t="s">
        <v>14</v>
      </c>
      <c r="S86" s="3">
        <v>46054</v>
      </c>
      <c r="T86" s="3">
        <v>46139</v>
      </c>
      <c r="U86" s="2">
        <v>39</v>
      </c>
      <c r="V86" s="2">
        <v>40</v>
      </c>
      <c r="W86" s="2">
        <v>19500</v>
      </c>
      <c r="X86" s="2">
        <v>1</v>
      </c>
      <c r="Y86" s="2">
        <v>5000</v>
      </c>
    </row>
    <row r="87" spans="1:25" x14ac:dyDescent="0.3">
      <c r="A87">
        <v>4</v>
      </c>
      <c r="B87" t="s">
        <v>17</v>
      </c>
      <c r="C87" t="s">
        <v>13</v>
      </c>
      <c r="D87">
        <v>9955172172</v>
      </c>
      <c r="E87" t="s">
        <v>18</v>
      </c>
      <c r="F87" s="1">
        <v>46055</v>
      </c>
      <c r="G87" s="1">
        <v>46137</v>
      </c>
      <c r="H87">
        <v>20</v>
      </c>
      <c r="I87">
        <v>40</v>
      </c>
      <c r="J87">
        <v>10000</v>
      </c>
      <c r="K87">
        <v>20</v>
      </c>
      <c r="L87">
        <v>0</v>
      </c>
      <c r="N87" s="2">
        <v>4</v>
      </c>
      <c r="O87" s="2" t="s">
        <v>17</v>
      </c>
      <c r="P87" s="2" t="s">
        <v>13</v>
      </c>
      <c r="Q87" s="2">
        <v>9955172172</v>
      </c>
      <c r="R87" s="2" t="s">
        <v>18</v>
      </c>
      <c r="S87" s="3">
        <v>46055</v>
      </c>
      <c r="T87" s="3">
        <v>46137</v>
      </c>
      <c r="U87" s="2">
        <v>20</v>
      </c>
      <c r="V87" s="2">
        <v>40</v>
      </c>
      <c r="W87" s="2">
        <v>10000</v>
      </c>
      <c r="X87" s="2">
        <v>20</v>
      </c>
      <c r="Y87" s="2">
        <v>0</v>
      </c>
    </row>
    <row r="88" spans="1:25" x14ac:dyDescent="0.3">
      <c r="A88">
        <v>5</v>
      </c>
      <c r="B88" t="s">
        <v>19</v>
      </c>
      <c r="C88" t="s">
        <v>20</v>
      </c>
      <c r="D88">
        <v>9546646608</v>
      </c>
      <c r="E88" t="s">
        <v>14</v>
      </c>
      <c r="F88" s="1">
        <v>46056</v>
      </c>
      <c r="G88" s="1">
        <v>46138</v>
      </c>
      <c r="H88">
        <v>21</v>
      </c>
      <c r="I88">
        <v>40</v>
      </c>
      <c r="J88">
        <v>10500</v>
      </c>
      <c r="K88">
        <v>19</v>
      </c>
      <c r="L88">
        <v>0</v>
      </c>
      <c r="N88" s="2">
        <v>5</v>
      </c>
      <c r="O88" s="2" t="s">
        <v>19</v>
      </c>
      <c r="P88" s="2" t="s">
        <v>20</v>
      </c>
      <c r="Q88" s="2">
        <v>9546646608</v>
      </c>
      <c r="R88" s="2" t="s">
        <v>14</v>
      </c>
      <c r="S88" s="3">
        <v>46056</v>
      </c>
      <c r="T88" s="3">
        <v>46138</v>
      </c>
      <c r="U88" s="2">
        <v>21</v>
      </c>
      <c r="V88" s="2">
        <v>40</v>
      </c>
      <c r="W88" s="2">
        <v>10500</v>
      </c>
      <c r="X88" s="2">
        <v>19</v>
      </c>
      <c r="Y88" s="2">
        <v>0</v>
      </c>
    </row>
    <row r="89" spans="1:25" x14ac:dyDescent="0.3">
      <c r="A89">
        <v>6</v>
      </c>
      <c r="B89" t="s">
        <v>21</v>
      </c>
      <c r="C89" t="s">
        <v>22</v>
      </c>
      <c r="D89">
        <v>4546212454</v>
      </c>
      <c r="E89" t="s">
        <v>23</v>
      </c>
      <c r="F89" s="1">
        <v>46057</v>
      </c>
      <c r="G89" s="1">
        <v>46139</v>
      </c>
      <c r="H89">
        <v>22</v>
      </c>
      <c r="I89">
        <v>40</v>
      </c>
      <c r="J89">
        <v>11000</v>
      </c>
      <c r="K89">
        <v>18</v>
      </c>
      <c r="L89">
        <v>0</v>
      </c>
      <c r="N89" s="2">
        <v>6</v>
      </c>
      <c r="O89" s="2" t="s">
        <v>21</v>
      </c>
      <c r="P89" s="2" t="s">
        <v>22</v>
      </c>
      <c r="Q89" s="2">
        <v>4546212454</v>
      </c>
      <c r="R89" s="2" t="s">
        <v>23</v>
      </c>
      <c r="S89" s="3">
        <v>46057</v>
      </c>
      <c r="T89" s="3">
        <v>46139</v>
      </c>
      <c r="U89" s="2">
        <v>22</v>
      </c>
      <c r="V89" s="2">
        <v>40</v>
      </c>
      <c r="W89" s="2">
        <v>11000</v>
      </c>
      <c r="X89" s="2">
        <v>18</v>
      </c>
      <c r="Y89" s="2">
        <v>0</v>
      </c>
    </row>
    <row r="90" spans="1:25" x14ac:dyDescent="0.3">
      <c r="A90">
        <v>7</v>
      </c>
      <c r="B90" t="s">
        <v>24</v>
      </c>
      <c r="C90" t="s">
        <v>20</v>
      </c>
      <c r="D90">
        <v>7763817656</v>
      </c>
      <c r="E90" t="s">
        <v>23</v>
      </c>
      <c r="F90" s="1">
        <v>46062</v>
      </c>
      <c r="G90" s="1">
        <v>46144</v>
      </c>
      <c r="H90">
        <v>27</v>
      </c>
      <c r="I90">
        <v>40</v>
      </c>
      <c r="J90">
        <v>13500</v>
      </c>
      <c r="K90">
        <v>13</v>
      </c>
      <c r="L90">
        <v>0</v>
      </c>
      <c r="N90" s="2">
        <v>7</v>
      </c>
      <c r="O90" s="2" t="s">
        <v>24</v>
      </c>
      <c r="P90" s="2" t="s">
        <v>20</v>
      </c>
      <c r="Q90" s="2">
        <v>7763817656</v>
      </c>
      <c r="R90" s="2" t="s">
        <v>23</v>
      </c>
      <c r="S90" s="3">
        <v>46062</v>
      </c>
      <c r="T90" s="3">
        <v>46144</v>
      </c>
      <c r="U90" s="2">
        <v>27</v>
      </c>
      <c r="V90" s="2">
        <v>40</v>
      </c>
      <c r="W90" s="2">
        <v>13500</v>
      </c>
      <c r="X90" s="2">
        <v>13</v>
      </c>
      <c r="Y90" s="2">
        <v>0</v>
      </c>
    </row>
    <row r="91" spans="1:25" x14ac:dyDescent="0.3">
      <c r="A91">
        <v>8</v>
      </c>
      <c r="B91" t="s">
        <v>25</v>
      </c>
      <c r="C91" t="s">
        <v>22</v>
      </c>
      <c r="D91">
        <v>9934775810</v>
      </c>
      <c r="E91" t="s">
        <v>26</v>
      </c>
      <c r="F91" s="1">
        <v>46063</v>
      </c>
      <c r="G91" s="1">
        <v>46145</v>
      </c>
      <c r="H91">
        <v>28</v>
      </c>
      <c r="I91">
        <v>40</v>
      </c>
      <c r="J91">
        <v>14000</v>
      </c>
      <c r="K91">
        <v>12</v>
      </c>
      <c r="L91">
        <v>0</v>
      </c>
      <c r="N91" s="2">
        <v>8</v>
      </c>
      <c r="O91" s="2" t="s">
        <v>25</v>
      </c>
      <c r="P91" s="2" t="s">
        <v>22</v>
      </c>
      <c r="Q91" s="2">
        <v>9934775810</v>
      </c>
      <c r="R91" s="2" t="s">
        <v>26</v>
      </c>
      <c r="S91" s="3">
        <v>46063</v>
      </c>
      <c r="T91" s="3">
        <v>46145</v>
      </c>
      <c r="U91" s="2">
        <v>28</v>
      </c>
      <c r="V91" s="2">
        <v>40</v>
      </c>
      <c r="W91" s="2">
        <v>14000</v>
      </c>
      <c r="X91" s="2">
        <v>12</v>
      </c>
      <c r="Y91" s="2">
        <v>0</v>
      </c>
    </row>
    <row r="92" spans="1:25" x14ac:dyDescent="0.3">
      <c r="A92">
        <v>9</v>
      </c>
      <c r="B92" t="s">
        <v>27</v>
      </c>
      <c r="C92" t="s">
        <v>22</v>
      </c>
      <c r="D92">
        <v>4564541231</v>
      </c>
      <c r="E92" t="s">
        <v>23</v>
      </c>
      <c r="F92" s="1">
        <v>46064</v>
      </c>
      <c r="G92" s="1">
        <v>46146</v>
      </c>
      <c r="H92">
        <v>29</v>
      </c>
      <c r="I92">
        <v>40</v>
      </c>
      <c r="J92">
        <v>14500</v>
      </c>
      <c r="K92">
        <v>11</v>
      </c>
      <c r="L92">
        <v>0</v>
      </c>
      <c r="N92" s="2">
        <v>9</v>
      </c>
      <c r="O92" s="2" t="s">
        <v>27</v>
      </c>
      <c r="P92" s="2" t="s">
        <v>22</v>
      </c>
      <c r="Q92" s="2">
        <v>4564541231</v>
      </c>
      <c r="R92" s="2" t="s">
        <v>23</v>
      </c>
      <c r="S92" s="3">
        <v>46064</v>
      </c>
      <c r="T92" s="3">
        <v>46146</v>
      </c>
      <c r="U92" s="2">
        <v>29</v>
      </c>
      <c r="V92" s="2">
        <v>40</v>
      </c>
      <c r="W92" s="2">
        <v>14500</v>
      </c>
      <c r="X92" s="2">
        <v>11</v>
      </c>
      <c r="Y92" s="2">
        <v>0</v>
      </c>
    </row>
    <row r="93" spans="1:25" x14ac:dyDescent="0.3">
      <c r="A93">
        <v>10</v>
      </c>
      <c r="B93" t="s">
        <v>28</v>
      </c>
      <c r="C93" t="s">
        <v>29</v>
      </c>
      <c r="D93">
        <v>5458454544</v>
      </c>
      <c r="E93" t="s">
        <v>23</v>
      </c>
      <c r="F93" s="1">
        <v>46058</v>
      </c>
      <c r="G93" s="1">
        <v>46140</v>
      </c>
      <c r="H93">
        <v>23</v>
      </c>
      <c r="I93">
        <v>40</v>
      </c>
      <c r="J93">
        <v>11500</v>
      </c>
      <c r="K93">
        <v>17</v>
      </c>
      <c r="L93">
        <v>0</v>
      </c>
      <c r="N93" s="2">
        <v>10</v>
      </c>
      <c r="O93" s="2" t="s">
        <v>28</v>
      </c>
      <c r="P93" s="2" t="s">
        <v>29</v>
      </c>
      <c r="Q93" s="2">
        <v>5458454544</v>
      </c>
      <c r="R93" s="2" t="s">
        <v>23</v>
      </c>
      <c r="S93" s="3">
        <v>46058</v>
      </c>
      <c r="T93" s="3">
        <v>46140</v>
      </c>
      <c r="U93" s="2">
        <v>23</v>
      </c>
      <c r="V93" s="2">
        <v>40</v>
      </c>
      <c r="W93" s="2">
        <v>11500</v>
      </c>
      <c r="X93" s="2">
        <v>17</v>
      </c>
      <c r="Y93" s="2">
        <v>0</v>
      </c>
    </row>
    <row r="94" spans="1:25" x14ac:dyDescent="0.3">
      <c r="A94">
        <v>11</v>
      </c>
      <c r="B94" t="s">
        <v>30</v>
      </c>
      <c r="C94" t="s">
        <v>31</v>
      </c>
      <c r="D94">
        <v>5454554545</v>
      </c>
      <c r="E94" t="s">
        <v>26</v>
      </c>
      <c r="F94" s="1">
        <v>46059</v>
      </c>
      <c r="G94" s="1">
        <v>46141</v>
      </c>
      <c r="H94">
        <v>24</v>
      </c>
      <c r="I94">
        <v>40</v>
      </c>
      <c r="J94">
        <v>12000</v>
      </c>
      <c r="K94">
        <v>16</v>
      </c>
      <c r="L94">
        <v>0</v>
      </c>
      <c r="N94" s="2">
        <v>11</v>
      </c>
      <c r="O94" s="2" t="s">
        <v>30</v>
      </c>
      <c r="P94" s="2" t="s">
        <v>31</v>
      </c>
      <c r="Q94" s="2">
        <v>5454554545</v>
      </c>
      <c r="R94" s="2" t="s">
        <v>26</v>
      </c>
      <c r="S94" s="3">
        <v>46059</v>
      </c>
      <c r="T94" s="3">
        <v>46141</v>
      </c>
      <c r="U94" s="2">
        <v>24</v>
      </c>
      <c r="V94" s="2">
        <v>40</v>
      </c>
      <c r="W94" s="2">
        <v>12000</v>
      </c>
      <c r="X94" s="2">
        <v>16</v>
      </c>
      <c r="Y94" s="2">
        <v>0</v>
      </c>
    </row>
    <row r="95" spans="1:25" x14ac:dyDescent="0.3">
      <c r="A95">
        <v>12</v>
      </c>
      <c r="B95" t="s">
        <v>32</v>
      </c>
      <c r="C95" t="s">
        <v>33</v>
      </c>
      <c r="D95">
        <v>5456442323</v>
      </c>
      <c r="E95" t="s">
        <v>14</v>
      </c>
      <c r="F95" s="1">
        <v>46060</v>
      </c>
      <c r="G95" s="1">
        <v>46142</v>
      </c>
      <c r="H95">
        <v>25</v>
      </c>
      <c r="I95">
        <v>40</v>
      </c>
      <c r="J95">
        <v>12500</v>
      </c>
      <c r="K95">
        <v>15</v>
      </c>
      <c r="L95">
        <v>0</v>
      </c>
      <c r="N95" s="2">
        <v>12</v>
      </c>
      <c r="O95" s="2" t="s">
        <v>32</v>
      </c>
      <c r="P95" s="2" t="s">
        <v>33</v>
      </c>
      <c r="Q95" s="2">
        <v>5456442323</v>
      </c>
      <c r="R95" s="2" t="s">
        <v>14</v>
      </c>
      <c r="S95" s="3">
        <v>46060</v>
      </c>
      <c r="T95" s="3">
        <v>46142</v>
      </c>
      <c r="U95" s="2">
        <v>25</v>
      </c>
      <c r="V95" s="2">
        <v>40</v>
      </c>
      <c r="W95" s="2">
        <v>12500</v>
      </c>
      <c r="X95" s="2">
        <v>15</v>
      </c>
      <c r="Y95" s="2">
        <v>0</v>
      </c>
    </row>
    <row r="96" spans="1:25" x14ac:dyDescent="0.3">
      <c r="A96">
        <v>13</v>
      </c>
      <c r="B96" t="s">
        <v>34</v>
      </c>
      <c r="C96" t="s">
        <v>22</v>
      </c>
      <c r="D96">
        <v>7898587459</v>
      </c>
      <c r="E96" t="s">
        <v>14</v>
      </c>
      <c r="F96" s="1">
        <v>46065</v>
      </c>
      <c r="G96" s="1">
        <v>46147</v>
      </c>
      <c r="H96">
        <v>30</v>
      </c>
      <c r="I96">
        <v>40</v>
      </c>
      <c r="J96">
        <v>15000</v>
      </c>
      <c r="K96">
        <v>10</v>
      </c>
      <c r="L96">
        <v>0</v>
      </c>
      <c r="N96" s="2">
        <v>13</v>
      </c>
      <c r="O96" s="2" t="s">
        <v>34</v>
      </c>
      <c r="P96" s="2" t="s">
        <v>22</v>
      </c>
      <c r="Q96" s="2">
        <v>7898587459</v>
      </c>
      <c r="R96" s="2" t="s">
        <v>14</v>
      </c>
      <c r="S96" s="3">
        <v>46065</v>
      </c>
      <c r="T96" s="3">
        <v>46147</v>
      </c>
      <c r="U96" s="2">
        <v>30</v>
      </c>
      <c r="V96" s="2">
        <v>40</v>
      </c>
      <c r="W96" s="2">
        <v>15000</v>
      </c>
      <c r="X96" s="2">
        <v>10</v>
      </c>
      <c r="Y96" s="2">
        <v>0</v>
      </c>
    </row>
    <row r="97" spans="1:25" x14ac:dyDescent="0.3">
      <c r="A97">
        <v>14</v>
      </c>
      <c r="B97" t="s">
        <v>35</v>
      </c>
      <c r="C97" t="s">
        <v>22</v>
      </c>
      <c r="D97">
        <v>7989776846</v>
      </c>
      <c r="E97" t="s">
        <v>26</v>
      </c>
      <c r="F97" s="1">
        <v>46066</v>
      </c>
      <c r="G97" s="1">
        <v>46148</v>
      </c>
      <c r="H97">
        <v>31</v>
      </c>
      <c r="I97">
        <v>40</v>
      </c>
      <c r="J97">
        <v>15500</v>
      </c>
      <c r="K97">
        <v>9</v>
      </c>
      <c r="L97">
        <v>0</v>
      </c>
      <c r="N97" s="2">
        <v>14</v>
      </c>
      <c r="O97" s="2" t="s">
        <v>35</v>
      </c>
      <c r="P97" s="2" t="s">
        <v>22</v>
      </c>
      <c r="Q97" s="2">
        <v>7989776846</v>
      </c>
      <c r="R97" s="2" t="s">
        <v>26</v>
      </c>
      <c r="S97" s="3">
        <v>46066</v>
      </c>
      <c r="T97" s="3">
        <v>46148</v>
      </c>
      <c r="U97" s="2">
        <v>31</v>
      </c>
      <c r="V97" s="2">
        <v>40</v>
      </c>
      <c r="W97" s="2">
        <v>15500</v>
      </c>
      <c r="X97" s="2">
        <v>9</v>
      </c>
      <c r="Y97" s="2">
        <v>0</v>
      </c>
    </row>
    <row r="98" spans="1:25" x14ac:dyDescent="0.3">
      <c r="A98">
        <v>15</v>
      </c>
      <c r="B98" t="s">
        <v>36</v>
      </c>
      <c r="C98" t="s">
        <v>37</v>
      </c>
      <c r="D98">
        <v>9999999999</v>
      </c>
      <c r="E98" t="s">
        <v>18</v>
      </c>
      <c r="F98" s="1">
        <v>46061</v>
      </c>
      <c r="G98" s="1">
        <v>46143</v>
      </c>
      <c r="H98">
        <v>26</v>
      </c>
      <c r="I98">
        <v>40</v>
      </c>
      <c r="J98">
        <v>13000</v>
      </c>
      <c r="K98">
        <v>14</v>
      </c>
      <c r="L98">
        <v>0</v>
      </c>
      <c r="N98" s="2">
        <v>15</v>
      </c>
      <c r="O98" s="2" t="s">
        <v>36</v>
      </c>
      <c r="P98" s="2" t="s">
        <v>37</v>
      </c>
      <c r="Q98" s="2">
        <v>9999999999</v>
      </c>
      <c r="R98" s="2" t="s">
        <v>18</v>
      </c>
      <c r="S98" s="3">
        <v>46061</v>
      </c>
      <c r="T98" s="3">
        <v>46143</v>
      </c>
      <c r="U98" s="2">
        <v>26</v>
      </c>
      <c r="V98" s="2">
        <v>40</v>
      </c>
      <c r="W98" s="2">
        <v>13000</v>
      </c>
      <c r="X98" s="2">
        <v>14</v>
      </c>
      <c r="Y98" s="2">
        <v>0</v>
      </c>
    </row>
    <row r="100" spans="1:25" x14ac:dyDescent="0.3">
      <c r="A100" s="5"/>
      <c r="B100" s="5"/>
      <c r="C100" s="5"/>
      <c r="D100" s="4"/>
      <c r="E100" s="4"/>
      <c r="F100" s="4"/>
      <c r="G100" s="4"/>
      <c r="H100" s="4"/>
      <c r="I100" s="4"/>
      <c r="J100" s="4"/>
      <c r="K100" s="4"/>
      <c r="L100" s="4"/>
      <c r="N100" t="str">
        <f t="shared" ref="N100:N115" si="18">A1</f>
        <v>Sr.No.</v>
      </c>
      <c r="O100" t="str">
        <f t="shared" ref="O100:O115" si="19">B1</f>
        <v>Employee_Name</v>
      </c>
      <c r="P100" t="str">
        <f t="shared" ref="P100:P115" si="20">C1</f>
        <v>Employee_Address</v>
      </c>
      <c r="Q100" t="str">
        <f t="shared" ref="Q100:Q115" si="21">D1</f>
        <v>Mob.No.</v>
      </c>
      <c r="R100" t="str">
        <f t="shared" ref="R100:R115" si="22">E1</f>
        <v>Domain</v>
      </c>
      <c r="S100" t="str">
        <f t="shared" ref="S100:S115" si="23">F1</f>
        <v>joining date</v>
      </c>
      <c r="T100" t="str">
        <f t="shared" ref="T100:T115" si="24">G1</f>
        <v>ending date</v>
      </c>
      <c r="U100" t="str">
        <f t="shared" ref="U100:U115" si="25">H1</f>
        <v>Attendence</v>
      </c>
      <c r="V100" t="str">
        <f t="shared" ref="V100:V115" si="26">I1</f>
        <v>Total No working days</v>
      </c>
      <c r="W100" t="str">
        <f t="shared" ref="W100:W115" si="27">J1</f>
        <v>salary</v>
      </c>
      <c r="X100" t="str">
        <f t="shared" ref="X100:X115" si="28">K1</f>
        <v>leave</v>
      </c>
      <c r="Y100" t="str">
        <f t="shared" ref="Y100:Y115" si="29">L1</f>
        <v>bonus</v>
      </c>
    </row>
    <row r="101" spans="1:25" x14ac:dyDescent="0.3">
      <c r="A101" s="2"/>
      <c r="B101" s="2"/>
      <c r="C101" s="2"/>
      <c r="D101" s="2"/>
      <c r="E101" s="2"/>
      <c r="F101" s="3"/>
      <c r="G101" s="3"/>
      <c r="H101" s="2"/>
      <c r="I101" s="2"/>
      <c r="J101" s="2"/>
      <c r="K101" s="2"/>
      <c r="L101" s="2"/>
      <c r="N101">
        <f t="shared" si="18"/>
        <v>1</v>
      </c>
      <c r="O101" t="str">
        <f t="shared" si="19"/>
        <v>Awadhesh</v>
      </c>
      <c r="P101" t="str">
        <f t="shared" si="20"/>
        <v>Bihar</v>
      </c>
      <c r="Q101">
        <f t="shared" si="21"/>
        <v>8210089387</v>
      </c>
      <c r="R101" t="str">
        <f t="shared" si="22"/>
        <v>software engineer</v>
      </c>
      <c r="S101">
        <f t="shared" si="23"/>
        <v>46054</v>
      </c>
      <c r="T101">
        <f t="shared" si="24"/>
        <v>46139</v>
      </c>
      <c r="U101">
        <f t="shared" si="25"/>
        <v>40</v>
      </c>
      <c r="V101">
        <f t="shared" si="26"/>
        <v>40</v>
      </c>
      <c r="W101">
        <f t="shared" si="27"/>
        <v>20000</v>
      </c>
      <c r="X101">
        <f t="shared" si="28"/>
        <v>0</v>
      </c>
      <c r="Y101">
        <f t="shared" si="29"/>
        <v>5000</v>
      </c>
    </row>
    <row r="102" spans="1:25" x14ac:dyDescent="0.3">
      <c r="A102" s="2"/>
      <c r="B102" s="2"/>
      <c r="C102" s="2"/>
      <c r="D102" s="2"/>
      <c r="E102" s="2"/>
      <c r="F102" s="3"/>
      <c r="G102" s="3"/>
      <c r="H102" s="2"/>
      <c r="I102" s="2"/>
      <c r="J102" s="2"/>
      <c r="K102" s="2"/>
      <c r="L102" s="2"/>
      <c r="N102">
        <f t="shared" si="18"/>
        <v>2</v>
      </c>
      <c r="O102" t="str">
        <f t="shared" si="19"/>
        <v>Radha</v>
      </c>
      <c r="P102" t="str">
        <f t="shared" si="20"/>
        <v>Bihar</v>
      </c>
      <c r="Q102">
        <f t="shared" si="21"/>
        <v>8413822231</v>
      </c>
      <c r="R102" t="str">
        <f t="shared" si="22"/>
        <v>software engineer</v>
      </c>
      <c r="S102">
        <f t="shared" si="23"/>
        <v>46054</v>
      </c>
      <c r="T102">
        <f t="shared" si="24"/>
        <v>46139</v>
      </c>
      <c r="U102">
        <f t="shared" si="25"/>
        <v>39</v>
      </c>
      <c r="V102">
        <f t="shared" si="26"/>
        <v>40</v>
      </c>
      <c r="W102">
        <f t="shared" si="27"/>
        <v>19500</v>
      </c>
      <c r="X102">
        <f t="shared" si="28"/>
        <v>1</v>
      </c>
      <c r="Y102">
        <f t="shared" si="29"/>
        <v>5000</v>
      </c>
    </row>
    <row r="103" spans="1:25" x14ac:dyDescent="0.3">
      <c r="A103" s="2"/>
      <c r="B103" s="2"/>
      <c r="C103" s="2"/>
      <c r="D103" s="2"/>
      <c r="E103" s="2"/>
      <c r="F103" s="3"/>
      <c r="G103" s="3"/>
      <c r="H103" s="2"/>
      <c r="I103" s="2"/>
      <c r="J103" s="2"/>
      <c r="K103" s="2"/>
      <c r="L103" s="2"/>
      <c r="N103">
        <f t="shared" si="18"/>
        <v>3</v>
      </c>
      <c r="O103" t="str">
        <f t="shared" si="19"/>
        <v>Priyanka</v>
      </c>
      <c r="P103" t="str">
        <f t="shared" si="20"/>
        <v>Bihar</v>
      </c>
      <c r="Q103">
        <f t="shared" si="21"/>
        <v>8413889387</v>
      </c>
      <c r="R103" t="str">
        <f t="shared" si="22"/>
        <v>software engineer</v>
      </c>
      <c r="S103">
        <f t="shared" si="23"/>
        <v>46054</v>
      </c>
      <c r="T103">
        <f t="shared" si="24"/>
        <v>46139</v>
      </c>
      <c r="U103">
        <f t="shared" si="25"/>
        <v>39</v>
      </c>
      <c r="V103">
        <f t="shared" si="26"/>
        <v>40</v>
      </c>
      <c r="W103">
        <f t="shared" si="27"/>
        <v>19500</v>
      </c>
      <c r="X103">
        <f t="shared" si="28"/>
        <v>1</v>
      </c>
      <c r="Y103">
        <f t="shared" si="29"/>
        <v>5000</v>
      </c>
    </row>
    <row r="104" spans="1:25" x14ac:dyDescent="0.3">
      <c r="A104" s="2"/>
      <c r="B104" s="2"/>
      <c r="C104" s="2"/>
      <c r="D104" s="2"/>
      <c r="E104" s="2"/>
      <c r="F104" s="3"/>
      <c r="G104" s="3"/>
      <c r="H104" s="2"/>
      <c r="I104" s="2"/>
      <c r="J104" s="2"/>
      <c r="K104" s="2"/>
      <c r="L104" s="2"/>
      <c r="N104">
        <f t="shared" si="18"/>
        <v>4</v>
      </c>
      <c r="O104" t="str">
        <f t="shared" si="19"/>
        <v>Nitu</v>
      </c>
      <c r="P104" t="str">
        <f t="shared" si="20"/>
        <v>Bihar</v>
      </c>
      <c r="Q104">
        <f t="shared" si="21"/>
        <v>9955172172</v>
      </c>
      <c r="R104" t="str">
        <f t="shared" si="22"/>
        <v>data engineer</v>
      </c>
      <c r="S104">
        <f t="shared" si="23"/>
        <v>46055</v>
      </c>
      <c r="T104">
        <f t="shared" si="24"/>
        <v>46137</v>
      </c>
      <c r="U104">
        <f t="shared" si="25"/>
        <v>20</v>
      </c>
      <c r="V104">
        <f t="shared" si="26"/>
        <v>40</v>
      </c>
      <c r="W104">
        <f t="shared" si="27"/>
        <v>10000</v>
      </c>
      <c r="X104">
        <f t="shared" si="28"/>
        <v>20</v>
      </c>
      <c r="Y104">
        <f t="shared" si="29"/>
        <v>0</v>
      </c>
    </row>
    <row r="105" spans="1:25" x14ac:dyDescent="0.3">
      <c r="A105" s="2"/>
      <c r="B105" s="2"/>
      <c r="C105" s="2"/>
      <c r="D105" s="2"/>
      <c r="E105" s="2"/>
      <c r="F105" s="3"/>
      <c r="G105" s="3"/>
      <c r="H105" s="2"/>
      <c r="I105" s="2"/>
      <c r="J105" s="2"/>
      <c r="K105" s="2"/>
      <c r="L105" s="2"/>
      <c r="N105">
        <f t="shared" si="18"/>
        <v>5</v>
      </c>
      <c r="O105" t="str">
        <f t="shared" si="19"/>
        <v>Pappu</v>
      </c>
      <c r="P105" t="str">
        <f t="shared" si="20"/>
        <v>Patna</v>
      </c>
      <c r="Q105">
        <f t="shared" si="21"/>
        <v>9546646608</v>
      </c>
      <c r="R105" t="str">
        <f t="shared" si="22"/>
        <v>software engineer</v>
      </c>
      <c r="S105">
        <f t="shared" si="23"/>
        <v>46056</v>
      </c>
      <c r="T105">
        <f t="shared" si="24"/>
        <v>46138</v>
      </c>
      <c r="U105">
        <f t="shared" si="25"/>
        <v>21</v>
      </c>
      <c r="V105">
        <f t="shared" si="26"/>
        <v>40</v>
      </c>
      <c r="W105">
        <f t="shared" si="27"/>
        <v>10500</v>
      </c>
      <c r="X105">
        <f t="shared" si="28"/>
        <v>19</v>
      </c>
      <c r="Y105">
        <f t="shared" si="29"/>
        <v>0</v>
      </c>
    </row>
    <row r="106" spans="1:25" x14ac:dyDescent="0.3">
      <c r="A106" s="2"/>
      <c r="B106" s="2"/>
      <c r="C106" s="2"/>
      <c r="D106" s="2"/>
      <c r="E106" s="2"/>
      <c r="F106" s="3"/>
      <c r="G106" s="3"/>
      <c r="H106" s="2"/>
      <c r="I106" s="2"/>
      <c r="J106" s="2"/>
      <c r="K106" s="2"/>
      <c r="L106" s="2"/>
      <c r="N106">
        <f t="shared" si="18"/>
        <v>6</v>
      </c>
      <c r="O106" t="str">
        <f t="shared" si="19"/>
        <v>uday</v>
      </c>
      <c r="P106" t="str">
        <f t="shared" si="20"/>
        <v>Muz</v>
      </c>
      <c r="Q106">
        <f t="shared" si="21"/>
        <v>4546212454</v>
      </c>
      <c r="R106" t="str">
        <f t="shared" si="22"/>
        <v>data analyst</v>
      </c>
      <c r="S106">
        <f t="shared" si="23"/>
        <v>46057</v>
      </c>
      <c r="T106">
        <f t="shared" si="24"/>
        <v>46139</v>
      </c>
      <c r="U106">
        <f t="shared" si="25"/>
        <v>22</v>
      </c>
      <c r="V106">
        <f t="shared" si="26"/>
        <v>40</v>
      </c>
      <c r="W106">
        <f t="shared" si="27"/>
        <v>11000</v>
      </c>
      <c r="X106">
        <f t="shared" si="28"/>
        <v>18</v>
      </c>
      <c r="Y106">
        <f t="shared" si="29"/>
        <v>0</v>
      </c>
    </row>
    <row r="107" spans="1:25" x14ac:dyDescent="0.3">
      <c r="A107" s="2"/>
      <c r="B107" s="2"/>
      <c r="C107" s="2"/>
      <c r="D107" s="2"/>
      <c r="E107" s="2"/>
      <c r="F107" s="3"/>
      <c r="G107" s="3"/>
      <c r="H107" s="2"/>
      <c r="I107" s="2"/>
      <c r="J107" s="2"/>
      <c r="K107" s="2"/>
      <c r="L107" s="2"/>
      <c r="N107">
        <f t="shared" si="18"/>
        <v>7</v>
      </c>
      <c r="O107" t="str">
        <f t="shared" si="19"/>
        <v>Anil</v>
      </c>
      <c r="P107" t="str">
        <f t="shared" si="20"/>
        <v>Patna</v>
      </c>
      <c r="Q107">
        <f t="shared" si="21"/>
        <v>7763817656</v>
      </c>
      <c r="R107" t="str">
        <f t="shared" si="22"/>
        <v>data analyst</v>
      </c>
      <c r="S107">
        <f t="shared" si="23"/>
        <v>46062</v>
      </c>
      <c r="T107">
        <f t="shared" si="24"/>
        <v>46144</v>
      </c>
      <c r="U107">
        <f t="shared" si="25"/>
        <v>27</v>
      </c>
      <c r="V107">
        <f t="shared" si="26"/>
        <v>40</v>
      </c>
      <c r="W107">
        <f t="shared" si="27"/>
        <v>13500</v>
      </c>
      <c r="X107">
        <f t="shared" si="28"/>
        <v>13</v>
      </c>
      <c r="Y107">
        <f t="shared" si="29"/>
        <v>0</v>
      </c>
    </row>
    <row r="108" spans="1:25" x14ac:dyDescent="0.3">
      <c r="A108" s="2"/>
      <c r="B108" s="2"/>
      <c r="C108" s="2"/>
      <c r="D108" s="2"/>
      <c r="E108" s="2"/>
      <c r="F108" s="3"/>
      <c r="G108" s="3"/>
      <c r="H108" s="2"/>
      <c r="I108" s="2"/>
      <c r="J108" s="2"/>
      <c r="K108" s="2"/>
      <c r="L108" s="2"/>
      <c r="N108">
        <f t="shared" si="18"/>
        <v>8</v>
      </c>
      <c r="O108" t="str">
        <f t="shared" si="19"/>
        <v>Sanjana</v>
      </c>
      <c r="P108" t="str">
        <f t="shared" si="20"/>
        <v>Muz</v>
      </c>
      <c r="Q108">
        <f t="shared" si="21"/>
        <v>9934775810</v>
      </c>
      <c r="R108" t="str">
        <f t="shared" si="22"/>
        <v>full stack</v>
      </c>
      <c r="S108">
        <f t="shared" si="23"/>
        <v>46063</v>
      </c>
      <c r="T108">
        <f t="shared" si="24"/>
        <v>46145</v>
      </c>
      <c r="U108">
        <f t="shared" si="25"/>
        <v>28</v>
      </c>
      <c r="V108">
        <f t="shared" si="26"/>
        <v>40</v>
      </c>
      <c r="W108">
        <f t="shared" si="27"/>
        <v>14000</v>
      </c>
      <c r="X108">
        <f t="shared" si="28"/>
        <v>12</v>
      </c>
      <c r="Y108">
        <f t="shared" si="29"/>
        <v>0</v>
      </c>
    </row>
    <row r="109" spans="1:25" x14ac:dyDescent="0.3">
      <c r="A109" s="2"/>
      <c r="B109" s="2"/>
      <c r="C109" s="2"/>
      <c r="D109" s="2"/>
      <c r="E109" s="2"/>
      <c r="F109" s="3"/>
      <c r="G109" s="3"/>
      <c r="H109" s="2"/>
      <c r="I109" s="2"/>
      <c r="J109" s="2"/>
      <c r="K109" s="2"/>
      <c r="L109" s="2"/>
      <c r="N109">
        <f t="shared" si="18"/>
        <v>9</v>
      </c>
      <c r="O109" t="str">
        <f t="shared" si="19"/>
        <v>Vishal</v>
      </c>
      <c r="P109" t="str">
        <f t="shared" si="20"/>
        <v>Muz</v>
      </c>
      <c r="Q109">
        <f t="shared" si="21"/>
        <v>4564541231</v>
      </c>
      <c r="R109" t="str">
        <f t="shared" si="22"/>
        <v>data analyst</v>
      </c>
      <c r="S109">
        <f t="shared" si="23"/>
        <v>46064</v>
      </c>
      <c r="T109">
        <f t="shared" si="24"/>
        <v>46146</v>
      </c>
      <c r="U109">
        <f t="shared" si="25"/>
        <v>29</v>
      </c>
      <c r="V109">
        <f t="shared" si="26"/>
        <v>40</v>
      </c>
      <c r="W109">
        <f t="shared" si="27"/>
        <v>14500</v>
      </c>
      <c r="X109">
        <f t="shared" si="28"/>
        <v>11</v>
      </c>
      <c r="Y109">
        <f t="shared" si="29"/>
        <v>0</v>
      </c>
    </row>
    <row r="110" spans="1:25" x14ac:dyDescent="0.3">
      <c r="A110" s="2"/>
      <c r="B110" s="2"/>
      <c r="C110" s="2"/>
      <c r="D110" s="2"/>
      <c r="E110" s="2"/>
      <c r="F110" s="3"/>
      <c r="G110" s="3"/>
      <c r="H110" s="2"/>
      <c r="I110" s="2"/>
      <c r="J110" s="2"/>
      <c r="K110" s="2"/>
      <c r="L110" s="2"/>
      <c r="N110">
        <f t="shared" si="18"/>
        <v>10</v>
      </c>
      <c r="O110" t="str">
        <f t="shared" si="19"/>
        <v>Suhani</v>
      </c>
      <c r="P110" t="str">
        <f t="shared" si="20"/>
        <v>Lalgang</v>
      </c>
      <c r="Q110">
        <f t="shared" si="21"/>
        <v>5458454544</v>
      </c>
      <c r="R110" t="str">
        <f t="shared" si="22"/>
        <v>data analyst</v>
      </c>
      <c r="S110">
        <f t="shared" si="23"/>
        <v>46058</v>
      </c>
      <c r="T110">
        <f t="shared" si="24"/>
        <v>46140</v>
      </c>
      <c r="U110">
        <f t="shared" si="25"/>
        <v>23</v>
      </c>
      <c r="V110">
        <f t="shared" si="26"/>
        <v>40</v>
      </c>
      <c r="W110">
        <f t="shared" si="27"/>
        <v>11500</v>
      </c>
      <c r="X110">
        <f t="shared" si="28"/>
        <v>17</v>
      </c>
      <c r="Y110">
        <f t="shared" si="29"/>
        <v>0</v>
      </c>
    </row>
    <row r="111" spans="1:25" x14ac:dyDescent="0.3">
      <c r="A111" s="2"/>
      <c r="B111" s="2"/>
      <c r="C111" s="2"/>
      <c r="D111" s="2"/>
      <c r="E111" s="2"/>
      <c r="F111" s="3"/>
      <c r="G111" s="3"/>
      <c r="H111" s="2"/>
      <c r="I111" s="2"/>
      <c r="J111" s="2"/>
      <c r="K111" s="2"/>
      <c r="L111" s="2"/>
      <c r="N111">
        <f t="shared" si="18"/>
        <v>11</v>
      </c>
      <c r="O111" t="str">
        <f t="shared" si="19"/>
        <v>Parwati</v>
      </c>
      <c r="P111" t="str">
        <f t="shared" si="20"/>
        <v>Turki</v>
      </c>
      <c r="Q111">
        <f t="shared" si="21"/>
        <v>5454554545</v>
      </c>
      <c r="R111" t="str">
        <f t="shared" si="22"/>
        <v>full stack</v>
      </c>
      <c r="S111">
        <f t="shared" si="23"/>
        <v>46059</v>
      </c>
      <c r="T111">
        <f t="shared" si="24"/>
        <v>46141</v>
      </c>
      <c r="U111">
        <f t="shared" si="25"/>
        <v>24</v>
      </c>
      <c r="V111">
        <f t="shared" si="26"/>
        <v>40</v>
      </c>
      <c r="W111">
        <f t="shared" si="27"/>
        <v>12000</v>
      </c>
      <c r="X111">
        <f t="shared" si="28"/>
        <v>16</v>
      </c>
      <c r="Y111">
        <f t="shared" si="29"/>
        <v>0</v>
      </c>
    </row>
    <row r="112" spans="1:25" x14ac:dyDescent="0.3">
      <c r="A112" s="2"/>
      <c r="B112" s="2"/>
      <c r="C112" s="2"/>
      <c r="D112" s="2"/>
      <c r="E112" s="2"/>
      <c r="F112" s="3"/>
      <c r="G112" s="3"/>
      <c r="H112" s="2"/>
      <c r="I112" s="2"/>
      <c r="J112" s="2"/>
      <c r="K112" s="2"/>
      <c r="L112" s="2"/>
      <c r="N112">
        <f t="shared" si="18"/>
        <v>12</v>
      </c>
      <c r="O112" t="str">
        <f t="shared" si="19"/>
        <v>Renu</v>
      </c>
      <c r="P112" t="str">
        <f t="shared" si="20"/>
        <v>Luckhnow</v>
      </c>
      <c r="Q112">
        <f t="shared" si="21"/>
        <v>5456442323</v>
      </c>
      <c r="R112" t="str">
        <f t="shared" si="22"/>
        <v>software engineer</v>
      </c>
      <c r="S112">
        <f t="shared" si="23"/>
        <v>46060</v>
      </c>
      <c r="T112">
        <f t="shared" si="24"/>
        <v>46142</v>
      </c>
      <c r="U112">
        <f t="shared" si="25"/>
        <v>25</v>
      </c>
      <c r="V112">
        <f t="shared" si="26"/>
        <v>40</v>
      </c>
      <c r="W112">
        <f t="shared" si="27"/>
        <v>12500</v>
      </c>
      <c r="X112">
        <f t="shared" si="28"/>
        <v>15</v>
      </c>
      <c r="Y112">
        <f t="shared" si="29"/>
        <v>0</v>
      </c>
    </row>
    <row r="113" spans="1:25" x14ac:dyDescent="0.3">
      <c r="A113" s="2"/>
      <c r="B113" s="2"/>
      <c r="C113" s="2"/>
      <c r="D113" s="2"/>
      <c r="E113" s="2"/>
      <c r="F113" s="3"/>
      <c r="G113" s="3"/>
      <c r="H113" s="2"/>
      <c r="I113" s="2"/>
      <c r="J113" s="2"/>
      <c r="K113" s="2"/>
      <c r="L113" s="2"/>
      <c r="N113">
        <f t="shared" si="18"/>
        <v>13</v>
      </c>
      <c r="O113" t="str">
        <f t="shared" si="19"/>
        <v>Meena</v>
      </c>
      <c r="P113" t="str">
        <f t="shared" si="20"/>
        <v>Muz</v>
      </c>
      <c r="Q113">
        <f t="shared" si="21"/>
        <v>7898587459</v>
      </c>
      <c r="R113" t="str">
        <f t="shared" si="22"/>
        <v>software engineer</v>
      </c>
      <c r="S113">
        <f t="shared" si="23"/>
        <v>46065</v>
      </c>
      <c r="T113">
        <f t="shared" si="24"/>
        <v>46147</v>
      </c>
      <c r="U113">
        <f t="shared" si="25"/>
        <v>30</v>
      </c>
      <c r="V113">
        <f t="shared" si="26"/>
        <v>40</v>
      </c>
      <c r="W113">
        <f t="shared" si="27"/>
        <v>15000</v>
      </c>
      <c r="X113">
        <f t="shared" si="28"/>
        <v>10</v>
      </c>
      <c r="Y113">
        <f t="shared" si="29"/>
        <v>0</v>
      </c>
    </row>
    <row r="114" spans="1:25" x14ac:dyDescent="0.3">
      <c r="A114" s="2"/>
      <c r="B114" s="2"/>
      <c r="C114" s="2"/>
      <c r="D114" s="2"/>
      <c r="E114" s="2"/>
      <c r="F114" s="3"/>
      <c r="G114" s="3"/>
      <c r="H114" s="2"/>
      <c r="I114" s="2"/>
      <c r="J114" s="2"/>
      <c r="K114" s="2"/>
      <c r="L114" s="2"/>
      <c r="N114">
        <f t="shared" si="18"/>
        <v>14</v>
      </c>
      <c r="O114" t="str">
        <f t="shared" si="19"/>
        <v>Nandlal</v>
      </c>
      <c r="P114" t="str">
        <f t="shared" si="20"/>
        <v>Muz</v>
      </c>
      <c r="Q114">
        <f t="shared" si="21"/>
        <v>7989776846</v>
      </c>
      <c r="R114" t="str">
        <f t="shared" si="22"/>
        <v>full stack</v>
      </c>
      <c r="S114">
        <f t="shared" si="23"/>
        <v>46066</v>
      </c>
      <c r="T114">
        <f t="shared" si="24"/>
        <v>46148</v>
      </c>
      <c r="U114">
        <f t="shared" si="25"/>
        <v>31</v>
      </c>
      <c r="V114">
        <f t="shared" si="26"/>
        <v>40</v>
      </c>
      <c r="W114">
        <f t="shared" si="27"/>
        <v>15500</v>
      </c>
      <c r="X114">
        <f t="shared" si="28"/>
        <v>9</v>
      </c>
      <c r="Y114">
        <f t="shared" si="29"/>
        <v>0</v>
      </c>
    </row>
    <row r="115" spans="1:25" x14ac:dyDescent="0.3">
      <c r="A115" s="2"/>
      <c r="B115" s="2"/>
      <c r="C115" s="2"/>
      <c r="D115" s="2"/>
      <c r="E115" s="2"/>
      <c r="F115" s="3"/>
      <c r="G115" s="3"/>
      <c r="H115" s="2"/>
      <c r="I115" s="2"/>
      <c r="J115" s="2"/>
      <c r="K115" s="2"/>
      <c r="L115" s="2"/>
      <c r="N115">
        <f t="shared" si="18"/>
        <v>15</v>
      </c>
      <c r="O115" t="str">
        <f t="shared" si="19"/>
        <v>Anish</v>
      </c>
      <c r="P115" t="str">
        <f t="shared" si="20"/>
        <v>delhi</v>
      </c>
      <c r="Q115">
        <f t="shared" si="21"/>
        <v>9999999999</v>
      </c>
      <c r="R115" t="str">
        <f t="shared" si="22"/>
        <v>data engineer</v>
      </c>
      <c r="S115">
        <f t="shared" si="23"/>
        <v>46061</v>
      </c>
      <c r="T115">
        <f t="shared" si="24"/>
        <v>46143</v>
      </c>
      <c r="U115">
        <f t="shared" si="25"/>
        <v>26</v>
      </c>
      <c r="V115">
        <f t="shared" si="26"/>
        <v>40</v>
      </c>
      <c r="W115">
        <f t="shared" si="27"/>
        <v>13000</v>
      </c>
      <c r="X115">
        <f t="shared" si="28"/>
        <v>14</v>
      </c>
      <c r="Y115">
        <f t="shared" si="29"/>
        <v>0</v>
      </c>
    </row>
  </sheetData>
  <dataValidations count="2">
    <dataValidation type="textLength" allowBlank="1" showInputMessage="1" showErrorMessage="1" errorTitle="wrong mob no" error="Enter 10 digit mob number" prompt="Enter mob no" sqref="D1:D16 Q1:Q16 D36:D51 Q36:Q51 A56:P56 Q83:Q98" xr:uid="{BA501957-6D99-4B5E-9DCE-CBEB888B302E}">
      <formula1>10</formula1>
      <formula2>10</formula2>
    </dataValidation>
    <dataValidation type="list" allowBlank="1" showInputMessage="1" showErrorMessage="1" sqref="E1:E16 R1:R16 E36:E51 R36:R51 A57:P57 R83:R98" xr:uid="{0A5F682D-5034-4CAE-947D-EEFA9CB104EA}">
      <formula1>"data engineer,software engineer,data analyst,full stack"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2026-09-02T16:46:28Z</dcterms:created>
  <dcterms:modified xsi:type="dcterms:W3CDTF">2026-09-03T17:07:14Z</dcterms:modified>
</cp:coreProperties>
</file>