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"/>
    </mc:Choice>
  </mc:AlternateContent>
  <xr:revisionPtr revIDLastSave="0" documentId="13_ncr:1_{151DCA89-FFAB-4A98-9749-BE468209C170}" xr6:coauthVersionLast="36" xr6:coauthVersionMax="36" xr10:uidLastSave="{00000000-0000-0000-0000-000000000000}"/>
  <bookViews>
    <workbookView xWindow="0" yWindow="0" windowWidth="9480" windowHeight="8664" xr2:uid="{3A7FD7ED-8753-4AAF-9819-1613306A5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" l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</calcChain>
</file>

<file path=xl/sharedStrings.xml><?xml version="1.0" encoding="utf-8"?>
<sst xmlns="http://schemas.openxmlformats.org/spreadsheetml/2006/main" count="73" uniqueCount="53">
  <si>
    <t>Sr.No.</t>
  </si>
  <si>
    <t>Employee_Name</t>
  </si>
  <si>
    <t>Employee_Address</t>
  </si>
  <si>
    <t>Mob.No.</t>
  </si>
  <si>
    <t>Domain</t>
  </si>
  <si>
    <t>joining date</t>
  </si>
  <si>
    <t>ending date</t>
  </si>
  <si>
    <t>Attendence</t>
  </si>
  <si>
    <t>Total No working days</t>
  </si>
  <si>
    <t>salary</t>
  </si>
  <si>
    <t>leave</t>
  </si>
  <si>
    <t>bonus</t>
  </si>
  <si>
    <t>Awadhesh</t>
  </si>
  <si>
    <t>Bihar</t>
  </si>
  <si>
    <t>software engineer</t>
  </si>
  <si>
    <t>Radha</t>
  </si>
  <si>
    <t>Priyanka</t>
  </si>
  <si>
    <t>Nitu</t>
  </si>
  <si>
    <t>data engineer</t>
  </si>
  <si>
    <t>Pappu</t>
  </si>
  <si>
    <t>Patna</t>
  </si>
  <si>
    <t>uday</t>
  </si>
  <si>
    <t>Muz</t>
  </si>
  <si>
    <t>data analyst</t>
  </si>
  <si>
    <t>Anil</t>
  </si>
  <si>
    <t>Sanjana</t>
  </si>
  <si>
    <t>full stack</t>
  </si>
  <si>
    <t>Vishal</t>
  </si>
  <si>
    <t>Suhani</t>
  </si>
  <si>
    <t>Lalgang</t>
  </si>
  <si>
    <t>Parwati</t>
  </si>
  <si>
    <t>Turki</t>
  </si>
  <si>
    <t>Renu</t>
  </si>
  <si>
    <t>Luckhnow</t>
  </si>
  <si>
    <t>Meena</t>
  </si>
  <si>
    <t>Nandlal</t>
  </si>
  <si>
    <t>Anish</t>
  </si>
  <si>
    <t>delhi</t>
  </si>
  <si>
    <t xml:space="preserve"> </t>
  </si>
  <si>
    <t>city -pincode</t>
  </si>
  <si>
    <t>delhi-442</t>
  </si>
  <si>
    <t>bihar-123213</t>
  </si>
  <si>
    <t>noida-321312</t>
  </si>
  <si>
    <t>chandigarh-2324</t>
  </si>
  <si>
    <t xml:space="preserve">city </t>
  </si>
  <si>
    <t>pincode</t>
  </si>
  <si>
    <t>bihar</t>
  </si>
  <si>
    <t>noida</t>
  </si>
  <si>
    <t>chandigarh</t>
  </si>
  <si>
    <t>delhi 442</t>
  </si>
  <si>
    <t>bihar 123213</t>
  </si>
  <si>
    <t>noida 321312</t>
  </si>
  <si>
    <t>chandigarh 2324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</si>
</sst>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EA01-1AA8-4C69-902B-AA326F84B4E1}">
  <dimension ref="A1:R19"/>
  <sheetViews>
    <sheetView tabSelected="1" zoomScale="70" zoomScaleNormal="70" workbookViewId="0">
      <selection activeCell="E9" sqref="E9"/>
    </sheetView>
  </sheetViews>
  <sheetFormatPr defaultRowHeight="14.4" x14ac:dyDescent="0.3"/>
  <cols>
    <col min="1" max="1" width="7.109375" bestFit="1" customWidth="1"/>
    <col min="2" max="2" width="17.6640625" bestFit="1" customWidth="1"/>
    <col min="3" max="3" width="20.44140625" bestFit="1" customWidth="1"/>
    <col min="4" max="4" width="12.33203125" bestFit="1" customWidth="1"/>
    <col min="5" max="5" width="18.44140625" bestFit="1" customWidth="1"/>
    <col min="6" max="6" width="12.5546875" bestFit="1" customWidth="1"/>
    <col min="7" max="7" width="12.6640625" bestFit="1" customWidth="1"/>
    <col min="8" max="8" width="12.109375" bestFit="1" customWidth="1"/>
    <col min="9" max="9" width="22.88671875" bestFit="1" customWidth="1"/>
    <col min="10" max="10" width="7" bestFit="1" customWidth="1"/>
    <col min="11" max="11" width="6.21875" bestFit="1" customWidth="1"/>
    <col min="12" max="12" width="7.33203125" bestFit="1" customWidth="1"/>
    <col min="15" max="15" width="16.33203125" bestFit="1" customWidth="1"/>
    <col min="18" max="18" width="16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O1" t="s">
        <v>39</v>
      </c>
      <c r="P1" t="s">
        <v>44</v>
      </c>
      <c r="Q1" t="s">
        <v>45</v>
      </c>
    </row>
    <row r="2" spans="1:18" x14ac:dyDescent="0.3">
      <c r="A2">
        <v>1</v>
      </c>
      <c r="B2" t="s">
        <v>12</v>
      </c>
      <c r="C2" t="s">
        <v>13</v>
      </c>
      <c r="D2">
        <v>8210089387</v>
      </c>
      <c r="E2" t="s">
        <v>14</v>
      </c>
      <c r="F2" s="1">
        <v>46054</v>
      </c>
      <c r="G2" s="1">
        <v>46139</v>
      </c>
      <c r="H2">
        <v>40</v>
      </c>
      <c r="I2">
        <v>40</v>
      </c>
      <c r="J2">
        <f t="shared" ref="J2:J16" si="0">H2*500</f>
        <v>20000</v>
      </c>
      <c r="K2">
        <f t="shared" ref="K2:K16" si="1">I2-H2</f>
        <v>0</v>
      </c>
      <c r="L2">
        <f t="shared" ref="L2:L16" si="2">IF(H2&gt;35,5000,0)</f>
        <v>5000</v>
      </c>
      <c r="O2" t="s">
        <v>40</v>
      </c>
      <c r="P2" t="s">
        <v>37</v>
      </c>
      <c r="Q2">
        <v>442</v>
      </c>
      <c r="R2" t="s">
        <v>49</v>
      </c>
    </row>
    <row r="3" spans="1:18" x14ac:dyDescent="0.3">
      <c r="A3">
        <v>2</v>
      </c>
      <c r="B3" t="s">
        <v>15</v>
      </c>
      <c r="C3" t="s">
        <v>13</v>
      </c>
      <c r="D3">
        <v>8413822231</v>
      </c>
      <c r="E3" t="s">
        <v>14</v>
      </c>
      <c r="F3" s="1">
        <v>46054</v>
      </c>
      <c r="G3" s="1">
        <v>46139</v>
      </c>
      <c r="H3">
        <v>39</v>
      </c>
      <c r="I3">
        <v>40</v>
      </c>
      <c r="J3">
        <f t="shared" si="0"/>
        <v>19500</v>
      </c>
      <c r="K3">
        <f t="shared" si="1"/>
        <v>1</v>
      </c>
      <c r="L3">
        <f t="shared" si="2"/>
        <v>5000</v>
      </c>
      <c r="O3" t="s">
        <v>41</v>
      </c>
      <c r="P3" t="s">
        <v>46</v>
      </c>
      <c r="Q3">
        <v>123213</v>
      </c>
      <c r="R3" t="s">
        <v>50</v>
      </c>
    </row>
    <row r="4" spans="1:18" x14ac:dyDescent="0.3">
      <c r="A4">
        <v>3</v>
      </c>
      <c r="B4" t="s">
        <v>16</v>
      </c>
      <c r="C4" t="s">
        <v>13</v>
      </c>
      <c r="D4">
        <v>8413889387</v>
      </c>
      <c r="E4" t="s">
        <v>14</v>
      </c>
      <c r="F4" s="1">
        <v>46054</v>
      </c>
      <c r="G4" s="1">
        <v>46139</v>
      </c>
      <c r="H4">
        <v>39</v>
      </c>
      <c r="I4">
        <v>40</v>
      </c>
      <c r="J4">
        <f t="shared" si="0"/>
        <v>19500</v>
      </c>
      <c r="K4">
        <f t="shared" si="1"/>
        <v>1</v>
      </c>
      <c r="L4">
        <f t="shared" si="2"/>
        <v>5000</v>
      </c>
      <c r="O4" t="s">
        <v>42</v>
      </c>
      <c r="P4" t="s">
        <v>47</v>
      </c>
      <c r="Q4">
        <v>321312</v>
      </c>
      <c r="R4" t="s">
        <v>51</v>
      </c>
    </row>
    <row r="5" spans="1:18" x14ac:dyDescent="0.3">
      <c r="A5">
        <v>4</v>
      </c>
      <c r="B5" t="s">
        <v>17</v>
      </c>
      <c r="C5" t="s">
        <v>13</v>
      </c>
      <c r="D5">
        <v>9955172172</v>
      </c>
      <c r="E5" t="s">
        <v>18</v>
      </c>
      <c r="F5" s="1">
        <v>46055</v>
      </c>
      <c r="G5" s="1">
        <v>46137</v>
      </c>
      <c r="H5">
        <v>20</v>
      </c>
      <c r="I5">
        <v>40</v>
      </c>
      <c r="J5">
        <f t="shared" si="0"/>
        <v>10000</v>
      </c>
      <c r="K5">
        <f t="shared" si="1"/>
        <v>20</v>
      </c>
      <c r="L5">
        <f t="shared" si="2"/>
        <v>0</v>
      </c>
      <c r="O5" t="s">
        <v>43</v>
      </c>
      <c r="P5" t="s">
        <v>48</v>
      </c>
      <c r="Q5">
        <v>2324</v>
      </c>
      <c r="R5" t="s">
        <v>52</v>
      </c>
    </row>
    <row r="6" spans="1:18" x14ac:dyDescent="0.3">
      <c r="A6">
        <v>5</v>
      </c>
      <c r="B6" t="s">
        <v>19</v>
      </c>
      <c r="C6" t="s">
        <v>20</v>
      </c>
      <c r="D6">
        <v>9546646608</v>
      </c>
      <c r="E6" t="s">
        <v>14</v>
      </c>
      <c r="F6" s="1">
        <v>46056</v>
      </c>
      <c r="G6" s="1">
        <v>46138</v>
      </c>
      <c r="H6">
        <v>21</v>
      </c>
      <c r="I6">
        <v>40</v>
      </c>
      <c r="J6">
        <f t="shared" si="0"/>
        <v>10500</v>
      </c>
      <c r="K6">
        <f t="shared" si="1"/>
        <v>19</v>
      </c>
      <c r="L6">
        <f t="shared" si="2"/>
        <v>0</v>
      </c>
    </row>
    <row r="7" spans="1:18" x14ac:dyDescent="0.3">
      <c r="A7">
        <v>6</v>
      </c>
      <c r="B7" t="s">
        <v>21</v>
      </c>
      <c r="C7" t="s">
        <v>22</v>
      </c>
      <c r="D7">
        <v>4546212454</v>
      </c>
      <c r="E7" t="s">
        <v>23</v>
      </c>
      <c r="F7" s="1">
        <v>46057</v>
      </c>
      <c r="G7" s="1">
        <v>46139</v>
      </c>
      <c r="H7">
        <v>22</v>
      </c>
      <c r="I7">
        <v>40</v>
      </c>
      <c r="J7">
        <f t="shared" si="0"/>
        <v>11000</v>
      </c>
      <c r="K7">
        <f t="shared" si="1"/>
        <v>18</v>
      </c>
      <c r="L7">
        <f t="shared" si="2"/>
        <v>0</v>
      </c>
    </row>
    <row r="8" spans="1:18" x14ac:dyDescent="0.3">
      <c r="A8">
        <v>7</v>
      </c>
      <c r="B8" t="s">
        <v>24</v>
      </c>
      <c r="C8" t="s">
        <v>20</v>
      </c>
      <c r="D8">
        <v>7763817656</v>
      </c>
      <c r="E8" t="s">
        <v>23</v>
      </c>
      <c r="F8" s="1">
        <v>46062</v>
      </c>
      <c r="G8" s="1">
        <v>46144</v>
      </c>
      <c r="H8">
        <v>27</v>
      </c>
      <c r="I8">
        <v>40</v>
      </c>
      <c r="J8">
        <f t="shared" si="0"/>
        <v>13500</v>
      </c>
      <c r="K8">
        <f t="shared" si="1"/>
        <v>13</v>
      </c>
      <c r="L8">
        <f t="shared" si="2"/>
        <v>0</v>
      </c>
    </row>
    <row r="9" spans="1:18" x14ac:dyDescent="0.3">
      <c r="A9">
        <v>8</v>
      </c>
      <c r="B9" t="s">
        <v>25</v>
      </c>
      <c r="C9" t="s">
        <v>22</v>
      </c>
      <c r="D9">
        <v>9934775810</v>
      </c>
      <c r="E9" t="s">
        <v>26</v>
      </c>
      <c r="F9" s="1">
        <v>46063</v>
      </c>
      <c r="G9" s="1">
        <v>46145</v>
      </c>
      <c r="H9">
        <v>28</v>
      </c>
      <c r="I9">
        <v>40</v>
      </c>
      <c r="J9">
        <f t="shared" si="0"/>
        <v>14000</v>
      </c>
      <c r="K9">
        <f t="shared" si="1"/>
        <v>12</v>
      </c>
      <c r="L9">
        <f t="shared" si="2"/>
        <v>0</v>
      </c>
    </row>
    <row r="10" spans="1:18" x14ac:dyDescent="0.3">
      <c r="A10">
        <v>9</v>
      </c>
      <c r="B10" t="s">
        <v>27</v>
      </c>
      <c r="C10" t="s">
        <v>22</v>
      </c>
      <c r="D10">
        <v>4564541231</v>
      </c>
      <c r="E10" t="s">
        <v>23</v>
      </c>
      <c r="F10" s="1">
        <v>46064</v>
      </c>
      <c r="G10" s="1">
        <v>46146</v>
      </c>
      <c r="H10">
        <v>29</v>
      </c>
      <c r="I10">
        <v>40</v>
      </c>
      <c r="J10">
        <f t="shared" si="0"/>
        <v>14500</v>
      </c>
      <c r="K10">
        <f t="shared" si="1"/>
        <v>11</v>
      </c>
      <c r="L10">
        <f t="shared" si="2"/>
        <v>0</v>
      </c>
    </row>
    <row r="11" spans="1:18" x14ac:dyDescent="0.3">
      <c r="A11">
        <v>10</v>
      </c>
      <c r="B11" t="s">
        <v>28</v>
      </c>
      <c r="C11" t="s">
        <v>29</v>
      </c>
      <c r="D11">
        <v>5458454544</v>
      </c>
      <c r="E11" t="s">
        <v>23</v>
      </c>
      <c r="F11" s="1">
        <v>46058</v>
      </c>
      <c r="G11" s="1">
        <v>46140</v>
      </c>
      <c r="H11">
        <v>23</v>
      </c>
      <c r="I11">
        <v>40</v>
      </c>
      <c r="J11">
        <f t="shared" si="0"/>
        <v>11500</v>
      </c>
      <c r="K11">
        <f t="shared" si="1"/>
        <v>17</v>
      </c>
      <c r="L11">
        <f t="shared" si="2"/>
        <v>0</v>
      </c>
    </row>
    <row r="12" spans="1:18" x14ac:dyDescent="0.3">
      <c r="A12">
        <v>11</v>
      </c>
      <c r="B12" t="s">
        <v>30</v>
      </c>
      <c r="C12" t="s">
        <v>31</v>
      </c>
      <c r="D12">
        <v>5454554545</v>
      </c>
      <c r="E12" t="s">
        <v>26</v>
      </c>
      <c r="F12" s="1">
        <v>46059</v>
      </c>
      <c r="G12" s="1">
        <v>46141</v>
      </c>
      <c r="H12">
        <v>24</v>
      </c>
      <c r="I12">
        <v>40</v>
      </c>
      <c r="J12">
        <f t="shared" si="0"/>
        <v>12000</v>
      </c>
      <c r="K12">
        <f t="shared" si="1"/>
        <v>16</v>
      </c>
      <c r="L12">
        <f t="shared" si="2"/>
        <v>0</v>
      </c>
    </row>
    <row r="13" spans="1:18" x14ac:dyDescent="0.3">
      <c r="A13">
        <v>12</v>
      </c>
      <c r="B13" t="s">
        <v>32</v>
      </c>
      <c r="C13" t="s">
        <v>33</v>
      </c>
      <c r="D13">
        <v>5456442323</v>
      </c>
      <c r="E13" t="s">
        <v>14</v>
      </c>
      <c r="F13" s="1">
        <v>46060</v>
      </c>
      <c r="G13" s="1">
        <v>46142</v>
      </c>
      <c r="H13">
        <v>25</v>
      </c>
      <c r="I13">
        <v>40</v>
      </c>
      <c r="J13">
        <f t="shared" si="0"/>
        <v>12500</v>
      </c>
      <c r="K13">
        <f t="shared" si="1"/>
        <v>15</v>
      </c>
      <c r="L13">
        <f t="shared" si="2"/>
        <v>0</v>
      </c>
    </row>
    <row r="14" spans="1:18" x14ac:dyDescent="0.3">
      <c r="A14">
        <v>13</v>
      </c>
      <c r="B14" t="s">
        <v>34</v>
      </c>
      <c r="C14" t="s">
        <v>22</v>
      </c>
      <c r="D14">
        <v>7898587459</v>
      </c>
      <c r="E14" t="s">
        <v>14</v>
      </c>
      <c r="F14" s="1">
        <v>46065</v>
      </c>
      <c r="G14" s="1">
        <v>46147</v>
      </c>
      <c r="H14">
        <v>30</v>
      </c>
      <c r="I14">
        <v>40</v>
      </c>
      <c r="J14">
        <f t="shared" si="0"/>
        <v>15000</v>
      </c>
      <c r="K14">
        <f t="shared" si="1"/>
        <v>10</v>
      </c>
      <c r="L14">
        <f t="shared" si="2"/>
        <v>0</v>
      </c>
    </row>
    <row r="15" spans="1:18" x14ac:dyDescent="0.3">
      <c r="A15">
        <v>14</v>
      </c>
      <c r="B15" t="s">
        <v>35</v>
      </c>
      <c r="C15" t="s">
        <v>22</v>
      </c>
      <c r="D15">
        <v>7989776846</v>
      </c>
      <c r="E15" t="s">
        <v>26</v>
      </c>
      <c r="F15" s="1">
        <v>46066</v>
      </c>
      <c r="G15" s="1">
        <v>46148</v>
      </c>
      <c r="H15">
        <v>31</v>
      </c>
      <c r="I15">
        <v>40</v>
      </c>
      <c r="J15">
        <f t="shared" si="0"/>
        <v>15500</v>
      </c>
      <c r="K15">
        <f t="shared" si="1"/>
        <v>9</v>
      </c>
      <c r="L15">
        <f t="shared" si="2"/>
        <v>0</v>
      </c>
    </row>
    <row r="16" spans="1:18" x14ac:dyDescent="0.3">
      <c r="A16">
        <v>15</v>
      </c>
      <c r="B16" t="s">
        <v>36</v>
      </c>
      <c r="C16" t="s">
        <v>37</v>
      </c>
      <c r="D16">
        <v>9999999999</v>
      </c>
      <c r="E16" t="s">
        <v>18</v>
      </c>
      <c r="F16" s="1">
        <v>46061</v>
      </c>
      <c r="G16" s="1">
        <v>46143</v>
      </c>
      <c r="H16">
        <v>26</v>
      </c>
      <c r="I16">
        <v>40</v>
      </c>
      <c r="J16">
        <f t="shared" si="0"/>
        <v>13000</v>
      </c>
      <c r="K16">
        <f t="shared" si="1"/>
        <v>14</v>
      </c>
      <c r="L16">
        <f t="shared" si="2"/>
        <v>0</v>
      </c>
    </row>
    <row r="19" spans="4:4" x14ac:dyDescent="0.3">
      <c r="D19" t="s">
        <v>38</v>
      </c>
    </row>
  </sheetData>
  <dataValidations count="2">
    <dataValidation type="textLength" allowBlank="1" showInputMessage="1" showErrorMessage="1" errorTitle="wrong mob no" error="Enter 10 digit mob number" prompt="Enter mob no" sqref="D1:D16" xr:uid="{94B8A1DC-3B4E-49DC-B57B-3477940E1837}">
      <formula1>10</formula1>
      <formula2>10</formula2>
    </dataValidation>
    <dataValidation type="list" allowBlank="1" showInputMessage="1" showErrorMessage="1" sqref="E1:E16" xr:uid="{81E5EE3E-06C7-498E-8C69-879AF7265CCC}">
      <formula1>"data engineer,software engineer,data analyst,full stack"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2026-09-01T17:37:09Z</dcterms:created>
  <dcterms:modified xsi:type="dcterms:W3CDTF">2026-09-02T16:46:45Z</dcterms:modified>
</cp:coreProperties>
</file>