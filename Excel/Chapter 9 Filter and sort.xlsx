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\"/>
    </mc:Choice>
  </mc:AlternateContent>
  <xr:revisionPtr revIDLastSave="0" documentId="13_ncr:1_{7998700D-7DB4-4F40-87D8-D78E909E5463}" xr6:coauthVersionLast="36" xr6:coauthVersionMax="36" xr10:uidLastSave="{00000000-0000-0000-0000-000000000000}"/>
  <bookViews>
    <workbookView xWindow="0" yWindow="0" windowWidth="11268" windowHeight="5556" firstSheet="2" activeTab="5" xr2:uid="{DB06DC9A-B579-4E0B-B37C-58765F760F3F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definedNames>
    <definedName name="_xlnm._FilterDatabase" localSheetId="0" hidden="1">Sheet1!$A$1:$L$7</definedName>
    <definedName name="_xlnm._FilterDatabase" localSheetId="3" hidden="1">Sheet4!$A$1:$B$16</definedName>
    <definedName name="_xlnm._FilterDatabase" localSheetId="5" hidden="1">Sheet6!$A$1:$L$16</definedName>
    <definedName name="_xlnm.Extract" localSheetId="4">Sheet5!$A$1:$D$1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6" l="1"/>
  <c r="Z16" i="6"/>
  <c r="Y16" i="6"/>
  <c r="X16" i="6"/>
  <c r="Z15" i="6"/>
  <c r="Y15" i="6"/>
  <c r="X15" i="6"/>
  <c r="Z14" i="6"/>
  <c r="Y14" i="6"/>
  <c r="X14" i="6"/>
  <c r="Z13" i="6"/>
  <c r="Y13" i="6"/>
  <c r="X13" i="6"/>
  <c r="Z12" i="6"/>
  <c r="Y12" i="6"/>
  <c r="X12" i="6"/>
  <c r="Z11" i="6"/>
  <c r="Y11" i="6"/>
  <c r="X11" i="6"/>
  <c r="Z10" i="6"/>
  <c r="Y10" i="6"/>
  <c r="X10" i="6"/>
  <c r="Z9" i="6"/>
  <c r="Y9" i="6"/>
  <c r="X9" i="6"/>
  <c r="Z8" i="6"/>
  <c r="Y8" i="6"/>
  <c r="X8" i="6"/>
  <c r="Z7" i="6"/>
  <c r="Y7" i="6"/>
  <c r="X7" i="6"/>
  <c r="Z6" i="6"/>
  <c r="Y6" i="6"/>
  <c r="X6" i="6"/>
  <c r="Z5" i="6"/>
  <c r="Y5" i="6"/>
  <c r="X5" i="6"/>
  <c r="Z4" i="6"/>
  <c r="Y4" i="6"/>
  <c r="X4" i="6"/>
  <c r="Z3" i="6"/>
  <c r="Y3" i="6"/>
  <c r="X3" i="6"/>
  <c r="Z2" i="6"/>
  <c r="Y2" i="6"/>
  <c r="X2" i="6"/>
  <c r="J12" i="6"/>
  <c r="K12" i="6"/>
  <c r="L12" i="6"/>
  <c r="J13" i="6"/>
  <c r="K13" i="6"/>
  <c r="L13" i="6"/>
  <c r="J6" i="6"/>
  <c r="K6" i="6"/>
  <c r="L6" i="6"/>
  <c r="J3" i="6"/>
  <c r="K3" i="6"/>
  <c r="L3" i="6"/>
  <c r="J8" i="6"/>
  <c r="K8" i="6"/>
  <c r="L8" i="6"/>
  <c r="J4" i="6"/>
  <c r="K4" i="6"/>
  <c r="L4" i="6"/>
  <c r="J16" i="6"/>
  <c r="K16" i="6"/>
  <c r="L16" i="6"/>
  <c r="J10" i="6"/>
  <c r="K10" i="6"/>
  <c r="L10" i="6"/>
  <c r="L14" i="6"/>
  <c r="L2" i="6"/>
  <c r="L5" i="6"/>
  <c r="L9" i="6"/>
  <c r="L15" i="6"/>
  <c r="L7" i="6"/>
  <c r="L11" i="6"/>
  <c r="K14" i="6"/>
  <c r="K2" i="6"/>
  <c r="K5" i="6"/>
  <c r="K9" i="6"/>
  <c r="K15" i="6"/>
  <c r="K7" i="6"/>
  <c r="K11" i="6"/>
  <c r="J14" i="6"/>
  <c r="J5" i="6"/>
  <c r="J9" i="6"/>
  <c r="J15" i="6"/>
  <c r="J7" i="6"/>
  <c r="J11" i="6"/>
  <c r="K7" i="1"/>
  <c r="L7" i="1" s="1"/>
  <c r="J7" i="1"/>
  <c r="I7" i="1"/>
  <c r="H7" i="1"/>
  <c r="G7" i="1"/>
  <c r="F7" i="1"/>
  <c r="I2" i="1" l="1"/>
  <c r="I3" i="1"/>
  <c r="I4" i="1"/>
  <c r="I5" i="1"/>
  <c r="I6" i="1"/>
  <c r="D3" i="3" l="1"/>
  <c r="D4" i="3"/>
  <c r="D5" i="3"/>
  <c r="D6" i="3"/>
  <c r="D7" i="3"/>
  <c r="D2" i="3"/>
  <c r="E3" i="2"/>
  <c r="E4" i="2"/>
  <c r="E5" i="2"/>
  <c r="E6" i="2"/>
  <c r="E2" i="2"/>
  <c r="K3" i="1" l="1"/>
  <c r="K4" i="1"/>
  <c r="L4" i="1" s="1"/>
  <c r="K5" i="1"/>
  <c r="L5" i="1" s="1"/>
  <c r="K6" i="1"/>
  <c r="K2" i="1"/>
  <c r="L2" i="1" s="1"/>
  <c r="J6" i="1"/>
  <c r="J3" i="1"/>
  <c r="J4" i="1"/>
  <c r="J5" i="1"/>
  <c r="J2" i="1"/>
  <c r="G2" i="1"/>
  <c r="H3" i="1"/>
  <c r="H5" i="1"/>
  <c r="H6" i="1"/>
  <c r="H2" i="1"/>
  <c r="G3" i="1"/>
  <c r="G4" i="1"/>
  <c r="G5" i="1"/>
  <c r="G6" i="1"/>
  <c r="L3" i="1" l="1"/>
  <c r="L6" i="1"/>
  <c r="F4" i="1"/>
  <c r="F3" i="1"/>
  <c r="F6" i="1"/>
  <c r="F5" i="1"/>
  <c r="F2" i="1"/>
</calcChain>
</file>

<file path=xl/sharedStrings.xml><?xml version="1.0" encoding="utf-8"?>
<sst xmlns="http://schemas.openxmlformats.org/spreadsheetml/2006/main" count="191" uniqueCount="83">
  <si>
    <t>Sr No.</t>
  </si>
  <si>
    <t>Name Of Student</t>
  </si>
  <si>
    <t>Sub1</t>
  </si>
  <si>
    <t>Sub3</t>
  </si>
  <si>
    <t>Total</t>
  </si>
  <si>
    <t>A</t>
  </si>
  <si>
    <t>B</t>
  </si>
  <si>
    <t>C</t>
  </si>
  <si>
    <t>D</t>
  </si>
  <si>
    <t>E</t>
  </si>
  <si>
    <t>Max</t>
  </si>
  <si>
    <t>Min</t>
  </si>
  <si>
    <t>Average</t>
  </si>
  <si>
    <t>%Age</t>
  </si>
  <si>
    <t>Result</t>
  </si>
  <si>
    <t>Sr.No.</t>
  </si>
  <si>
    <t>Emp Name</t>
  </si>
  <si>
    <t>Days</t>
  </si>
  <si>
    <t>Performance/10</t>
  </si>
  <si>
    <t>Promotion:yes/No</t>
  </si>
  <si>
    <t>Grade</t>
  </si>
  <si>
    <t>S.No.</t>
  </si>
  <si>
    <t>Customer</t>
  </si>
  <si>
    <t>Quantity order</t>
  </si>
  <si>
    <t>Discount%</t>
  </si>
  <si>
    <t>Anil</t>
  </si>
  <si>
    <t>Uday</t>
  </si>
  <si>
    <t>Pappu</t>
  </si>
  <si>
    <t>Awadhesh</t>
  </si>
  <si>
    <t>Suhani</t>
  </si>
  <si>
    <t>Radha</t>
  </si>
  <si>
    <t xml:space="preserve"> </t>
  </si>
  <si>
    <t>SrNo.</t>
  </si>
  <si>
    <t>NAME</t>
  </si>
  <si>
    <t>WDW</t>
  </si>
  <si>
    <t>DSAD</t>
  </si>
  <si>
    <t>DSD</t>
  </si>
  <si>
    <t>SDS</t>
  </si>
  <si>
    <t>EDED</t>
  </si>
  <si>
    <t>EDEWD</t>
  </si>
  <si>
    <t>DEFEWDEW</t>
  </si>
  <si>
    <t>EFWEDFWE</t>
  </si>
  <si>
    <t>WEDWFW</t>
  </si>
  <si>
    <t>EWEWDEWF</t>
  </si>
  <si>
    <t>dep</t>
  </si>
  <si>
    <t>cse</t>
  </si>
  <si>
    <t>bs</t>
  </si>
  <si>
    <t>d</t>
  </si>
  <si>
    <t>f</t>
  </si>
  <si>
    <t>salary</t>
  </si>
  <si>
    <t>Akchkjc</t>
  </si>
  <si>
    <t>dfd</t>
  </si>
  <si>
    <t>Employee_Name</t>
  </si>
  <si>
    <t>Employee_Address</t>
  </si>
  <si>
    <t>Mob.No.</t>
  </si>
  <si>
    <t>Domain</t>
  </si>
  <si>
    <t>joining date</t>
  </si>
  <si>
    <t>ending date</t>
  </si>
  <si>
    <t>Attendence</t>
  </si>
  <si>
    <t>Total No working days</t>
  </si>
  <si>
    <t>Nitu</t>
  </si>
  <si>
    <t>Priyanka</t>
  </si>
  <si>
    <t>uday</t>
  </si>
  <si>
    <t>Sanjana</t>
  </si>
  <si>
    <t>Vishal</t>
  </si>
  <si>
    <t>Parwati</t>
  </si>
  <si>
    <t>Renu</t>
  </si>
  <si>
    <t>Meena</t>
  </si>
  <si>
    <t>Nandlal</t>
  </si>
  <si>
    <t>Bihar</t>
  </si>
  <si>
    <t>Patna</t>
  </si>
  <si>
    <t>Muz</t>
  </si>
  <si>
    <t>Lalgang</t>
  </si>
  <si>
    <t>Turki</t>
  </si>
  <si>
    <t>Luckhnow</t>
  </si>
  <si>
    <t>software engineer</t>
  </si>
  <si>
    <t>Anish</t>
  </si>
  <si>
    <t>delhi</t>
  </si>
  <si>
    <t>data engineer</t>
  </si>
  <si>
    <t>data analyst</t>
  </si>
  <si>
    <t>full stack</t>
  </si>
  <si>
    <t>leave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</si>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</sst>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1" applyFont="1"/>
    <xf numFmtId="14" fontId="0" fillId="0" borderId="0" xfId="0" applyNumberFormat="1"/>
  </cellXfs>
  <cellStyles count="2">
    <cellStyle name="Normal" xfId="0" builtinId="0"/>
    <cellStyle name="Percent" xfId="1" builtinId="5"/>
  </cellStyles>
  <dxfs count="38"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</dxf>
    <dxf>
      <fill>
        <patternFill>
          <bgColor theme="4"/>
        </patternFill>
      </fill>
    </dxf>
    <dxf>
      <fill>
        <patternFill>
          <bgColor theme="5" tint="-0.24994659260841701"/>
        </patternFill>
      </fill>
    </dxf>
    <dxf>
      <fill>
        <patternFill>
          <bgColor theme="4"/>
        </patternFill>
      </fill>
    </dxf>
    <dxf>
      <fill>
        <patternFill>
          <bgColor theme="5" tint="-0.24994659260841701"/>
        </patternFill>
      </fill>
    </dxf>
    <dxf>
      <fill>
        <patternFill>
          <bgColor theme="4"/>
        </patternFill>
      </fill>
    </dxf>
    <dxf>
      <fill>
        <patternFill>
          <bgColor theme="5" tint="-0.24994659260841701"/>
        </patternFill>
      </fill>
    </dxf>
    <dxf>
      <fill>
        <patternFill>
          <bgColor theme="4"/>
        </patternFill>
      </fill>
    </dxf>
    <dxf>
      <fill>
        <patternFill>
          <bgColor theme="5" tint="-0.24994659260841701"/>
        </patternFill>
      </fill>
    </dxf>
    <dxf>
      <fill>
        <patternFill>
          <bgColor theme="4"/>
        </patternFill>
      </fill>
    </dxf>
    <dxf>
      <fill>
        <patternFill>
          <bgColor theme="5" tint="-0.24994659260841701"/>
        </patternFill>
      </fill>
    </dxf>
    <dxf>
      <fill>
        <patternFill>
          <bgColor theme="4"/>
        </patternFill>
      </fill>
    </dxf>
    <dxf>
      <fill>
        <patternFill>
          <bgColor theme="5" tint="-0.24994659260841701"/>
        </patternFill>
      </fill>
    </dxf>
    <dxf>
      <fill>
        <patternFill>
          <bgColor theme="4"/>
        </patternFill>
      </fill>
    </dxf>
    <dxf>
      <fill>
        <patternFill>
          <bgColor theme="5" tint="-0.24994659260841701"/>
        </patternFill>
      </fill>
    </dxf>
    <dxf>
      <fill>
        <patternFill>
          <bgColor theme="4"/>
        </patternFill>
      </fill>
    </dxf>
    <dxf>
      <fill>
        <patternFill>
          <bgColor theme="5" tint="-0.24994659260841701"/>
        </patternFill>
      </fill>
    </dxf>
    <dxf>
      <fill>
        <patternFill>
          <bgColor theme="4"/>
        </patternFill>
      </fill>
    </dxf>
    <dxf>
      <fill>
        <patternFill>
          <bgColor theme="5" tint="-0.24994659260841701"/>
        </patternFill>
      </fill>
    </dxf>
    <dxf>
      <fill>
        <patternFill>
          <bgColor theme="4"/>
        </patternFill>
      </fill>
    </dxf>
    <dxf>
      <fill>
        <patternFill>
          <bgColor theme="5" tint="-0.24994659260841701"/>
        </patternFill>
      </fill>
    </dxf>
    <dxf>
      <fill>
        <patternFill>
          <bgColor theme="4"/>
        </patternFill>
      </fill>
    </dxf>
    <dxf>
      <fill>
        <patternFill>
          <bgColor theme="5" tint="-0.24994659260841701"/>
        </patternFill>
      </fill>
    </dxf>
    <dxf>
      <fill>
        <patternFill>
          <bgColor theme="4"/>
        </patternFill>
      </fill>
    </dxf>
    <dxf>
      <fill>
        <patternFill>
          <bgColor theme="5" tint="-0.24994659260841701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05620-BCE6-44E6-84EE-BD94A746F5FB}">
  <sheetPr filterMode="1"/>
  <dimension ref="A1:L9"/>
  <sheetViews>
    <sheetView zoomScale="97" zoomScaleNormal="206" workbookViewId="0">
      <selection activeCell="I2" sqref="I2"/>
    </sheetView>
  </sheetViews>
  <sheetFormatPr defaultRowHeight="14.4" x14ac:dyDescent="0.3"/>
  <cols>
    <col min="1" max="1" width="6" bestFit="1" customWidth="1"/>
    <col min="2" max="2" width="15.109375" bestFit="1" customWidth="1"/>
    <col min="3" max="5" width="4.88671875" bestFit="1" customWidth="1"/>
    <col min="6" max="6" width="5.21875" bestFit="1" customWidth="1"/>
    <col min="10" max="10" width="8.88671875" customWidth="1"/>
    <col min="12" max="12" width="8.88671875" customWidth="1"/>
  </cols>
  <sheetData>
    <row r="1" spans="1:12" x14ac:dyDescent="0.3">
      <c r="A1" s="4" t="s">
        <v>0</v>
      </c>
      <c r="B1" s="4" t="s">
        <v>1</v>
      </c>
      <c r="C1" s="4" t="s">
        <v>2</v>
      </c>
      <c r="D1" s="4" t="s">
        <v>2</v>
      </c>
      <c r="E1" s="4" t="s">
        <v>3</v>
      </c>
      <c r="F1" s="4" t="s">
        <v>4</v>
      </c>
      <c r="G1" s="5" t="s">
        <v>10</v>
      </c>
      <c r="H1" s="1" t="s">
        <v>11</v>
      </c>
      <c r="I1" s="5" t="s">
        <v>12</v>
      </c>
      <c r="J1" s="1" t="s">
        <v>13</v>
      </c>
      <c r="K1" s="5" t="s">
        <v>14</v>
      </c>
      <c r="L1" s="1" t="s">
        <v>20</v>
      </c>
    </row>
    <row r="2" spans="1:12" hidden="1" x14ac:dyDescent="0.3">
      <c r="A2" s="2">
        <v>6</v>
      </c>
      <c r="B2" s="2" t="s">
        <v>50</v>
      </c>
      <c r="C2" s="2">
        <v>15</v>
      </c>
      <c r="D2" s="2">
        <v>67</v>
      </c>
      <c r="E2" s="2">
        <v>66</v>
      </c>
      <c r="F2" s="2">
        <f>SUM(C2:E2)</f>
        <v>148</v>
      </c>
      <c r="G2" s="6">
        <f>MAX(C2:E2)</f>
        <v>67</v>
      </c>
      <c r="H2" s="7">
        <f>MIN(C2:E2)</f>
        <v>15</v>
      </c>
      <c r="I2" s="8">
        <f>AVERAGE(C2:E2)</f>
        <v>49.333333333333336</v>
      </c>
      <c r="J2">
        <f>SUM(C2:E2)/3</f>
        <v>49.333333333333336</v>
      </c>
      <c r="K2" t="str">
        <f>IF(AND(C2&gt;=30,D2&gt;=30,E2&gt;=30),"Pass","Fail")</f>
        <v>Fail</v>
      </c>
      <c r="L2" t="str">
        <f>IF(K2="Fail","Fail",IF(J2&gt;=90,"A++",IF(J2&gt;=80,"A",IF(J2&gt;=70,"B++",IF(J2&gt;=60,"B",IF(J2&gt;=50,"c++",IF(J2&gt;=40,"c",IF(J2&gt;=30,"D++","Fail"))))))))</f>
        <v>Fail</v>
      </c>
    </row>
    <row r="3" spans="1:12" x14ac:dyDescent="0.3">
      <c r="A3" s="2">
        <v>2</v>
      </c>
      <c r="B3" s="2" t="s">
        <v>6</v>
      </c>
      <c r="C3" s="2">
        <v>63</v>
      </c>
      <c r="D3" s="2">
        <v>99</v>
      </c>
      <c r="E3" s="2">
        <v>53</v>
      </c>
      <c r="F3" s="2">
        <f>SUM(C3:E3)</f>
        <v>215</v>
      </c>
      <c r="G3" s="6">
        <f t="shared" ref="G3:G7" si="0">MAX(C3:E3)</f>
        <v>99</v>
      </c>
      <c r="H3" s="7">
        <f t="shared" ref="H3:H7" si="1">MIN(C3:E3)</f>
        <v>53</v>
      </c>
      <c r="I3" s="8">
        <f t="shared" ref="I3:I7" si="2">AVERAGE(C3:E3)</f>
        <v>71.666666666666671</v>
      </c>
      <c r="J3">
        <f>SUM(C3:E3)/3</f>
        <v>71.666666666666671</v>
      </c>
      <c r="K3" t="str">
        <f>IF(AND(C3&gt;=30,D3&gt;=30,E3&gt;=30),"Pass","Fail")</f>
        <v>Pass</v>
      </c>
      <c r="L3" t="str">
        <f t="shared" ref="L3:L7" si="3">IF(K3="Fail","Fail",IF(J3&gt;=90,"A++",IF(J3&gt;=80,"A",IF(J3&gt;=70,"B++",IF(J3&gt;=60,"B",IF(J3&gt;=50,"c++",IF(J3&gt;=40,"c",IF(J3&gt;=30,"D++","Fail"))))))))</f>
        <v>B++</v>
      </c>
    </row>
    <row r="4" spans="1:12" hidden="1" x14ac:dyDescent="0.3">
      <c r="A4" s="2">
        <v>3</v>
      </c>
      <c r="B4" s="2" t="s">
        <v>7</v>
      </c>
      <c r="C4" s="2">
        <v>24</v>
      </c>
      <c r="D4" s="2">
        <v>10</v>
      </c>
      <c r="E4" s="2">
        <v>15</v>
      </c>
      <c r="F4" s="2">
        <f>C4+D4+E4</f>
        <v>49</v>
      </c>
      <c r="G4" s="6">
        <f t="shared" si="0"/>
        <v>24</v>
      </c>
      <c r="H4" s="7" t="s">
        <v>5</v>
      </c>
      <c r="I4" s="8">
        <f t="shared" si="2"/>
        <v>16.333333333333332</v>
      </c>
      <c r="J4">
        <f>SUM(C4:E4)/3</f>
        <v>16.333333333333332</v>
      </c>
      <c r="K4" t="str">
        <f>IF(AND(C4&gt;=30,D4&gt;=30,E4&gt;=30),"Pass","Fail")</f>
        <v>Fail</v>
      </c>
      <c r="L4" t="str">
        <f t="shared" si="3"/>
        <v>Fail</v>
      </c>
    </row>
    <row r="5" spans="1:12" hidden="1" x14ac:dyDescent="0.3">
      <c r="A5" s="2">
        <v>4</v>
      </c>
      <c r="B5" s="2" t="s">
        <v>8</v>
      </c>
      <c r="C5" s="2">
        <v>36</v>
      </c>
      <c r="D5" s="2">
        <v>90</v>
      </c>
      <c r="E5" s="2">
        <v>46</v>
      </c>
      <c r="F5" s="2">
        <f>C5+D5+E5</f>
        <v>172</v>
      </c>
      <c r="G5" s="6">
        <f t="shared" si="0"/>
        <v>90</v>
      </c>
      <c r="H5" s="7">
        <f t="shared" si="1"/>
        <v>36</v>
      </c>
      <c r="I5" s="8">
        <f t="shared" si="2"/>
        <v>57.333333333333336</v>
      </c>
      <c r="J5">
        <f>SUM(C5:E5)/3</f>
        <v>57.333333333333336</v>
      </c>
      <c r="K5" t="str">
        <f>IF(AND(C5&gt;=30,D5&gt;=30,E5&gt;=30),"Pass","Fail")</f>
        <v>Pass</v>
      </c>
      <c r="L5" t="str">
        <f t="shared" si="3"/>
        <v>c++</v>
      </c>
    </row>
    <row r="6" spans="1:12" hidden="1" x14ac:dyDescent="0.3">
      <c r="A6" s="2">
        <v>5</v>
      </c>
      <c r="B6" s="2" t="s">
        <v>5</v>
      </c>
      <c r="C6" s="2">
        <v>51</v>
      </c>
      <c r="D6" s="2">
        <v>95</v>
      </c>
      <c r="E6" s="2">
        <v>61</v>
      </c>
      <c r="F6" s="2">
        <f>C6+D6+E6</f>
        <v>207</v>
      </c>
      <c r="G6" s="6">
        <f t="shared" si="0"/>
        <v>95</v>
      </c>
      <c r="H6" s="7">
        <f t="shared" si="1"/>
        <v>51</v>
      </c>
      <c r="I6" s="8">
        <f t="shared" si="2"/>
        <v>69</v>
      </c>
      <c r="J6">
        <f>SUM(C6:E6)/3</f>
        <v>69</v>
      </c>
      <c r="K6" t="str">
        <f>IF(AND(C6&gt;=30,D6&gt;=30,E6&gt;=30),"Pass","Fail")</f>
        <v>Pass</v>
      </c>
      <c r="L6" t="str">
        <f t="shared" si="3"/>
        <v>B</v>
      </c>
    </row>
    <row r="7" spans="1:12" hidden="1" x14ac:dyDescent="0.3">
      <c r="A7" s="2">
        <v>6</v>
      </c>
      <c r="B7" s="2" t="s">
        <v>51</v>
      </c>
      <c r="C7" s="2"/>
      <c r="D7" s="2"/>
      <c r="E7" s="2"/>
      <c r="F7" s="2">
        <f>C7+D7+E7</f>
        <v>0</v>
      </c>
      <c r="G7" s="6">
        <f t="shared" si="0"/>
        <v>0</v>
      </c>
      <c r="H7" s="7">
        <f t="shared" si="1"/>
        <v>0</v>
      </c>
      <c r="I7" s="8" t="e">
        <f t="shared" si="2"/>
        <v>#DIV/0!</v>
      </c>
      <c r="J7">
        <f>SUM(C7:E7)/3</f>
        <v>0</v>
      </c>
      <c r="K7" t="str">
        <f>IF(AND(C7&gt;=30,D7&gt;=30,E7&gt;=30),"Pass","Fail")</f>
        <v>Fail</v>
      </c>
      <c r="L7" t="str">
        <f t="shared" si="3"/>
        <v>Fail</v>
      </c>
    </row>
    <row r="8" spans="1:12" x14ac:dyDescent="0.3">
      <c r="D8" s="3"/>
    </row>
    <row r="9" spans="1:12" x14ac:dyDescent="0.3">
      <c r="K9" t="s">
        <v>31</v>
      </c>
    </row>
  </sheetData>
  <autoFilter ref="A1:L7" xr:uid="{23107D8B-1490-4DAE-86A2-E9D2D684EA97}">
    <filterColumn colId="8">
      <filters>
        <filter val="71.7"/>
      </filters>
    </filterColumn>
  </autoFilter>
  <conditionalFormatting sqref="A2:L6">
    <cfRule type="expression" dxfId="37" priority="25">
      <formula>$B2="A"</formula>
    </cfRule>
    <cfRule type="expression" dxfId="36" priority="26">
      <formula>$B1</formula>
    </cfRule>
  </conditionalFormatting>
  <conditionalFormatting sqref="A7">
    <cfRule type="expression" dxfId="35" priority="23">
      <formula>$B7="A"</formula>
    </cfRule>
    <cfRule type="expression" dxfId="34" priority="24">
      <formula>$B6</formula>
    </cfRule>
  </conditionalFormatting>
  <conditionalFormatting sqref="B7">
    <cfRule type="expression" dxfId="33" priority="21">
      <formula>$B7="A"</formula>
    </cfRule>
    <cfRule type="expression" dxfId="32" priority="22">
      <formula>$B6</formula>
    </cfRule>
  </conditionalFormatting>
  <conditionalFormatting sqref="C7">
    <cfRule type="expression" dxfId="31" priority="19">
      <formula>$B7="A"</formula>
    </cfRule>
    <cfRule type="expression" dxfId="30" priority="20">
      <formula>$B6</formula>
    </cfRule>
  </conditionalFormatting>
  <conditionalFormatting sqref="D7">
    <cfRule type="expression" dxfId="29" priority="17">
      <formula>$B7="A"</formula>
    </cfRule>
    <cfRule type="expression" dxfId="28" priority="18">
      <formula>$B6</formula>
    </cfRule>
  </conditionalFormatting>
  <conditionalFormatting sqref="E7">
    <cfRule type="expression" dxfId="27" priority="15">
      <formula>$B7="A"</formula>
    </cfRule>
    <cfRule type="expression" dxfId="26" priority="16">
      <formula>$B6</formula>
    </cfRule>
  </conditionalFormatting>
  <conditionalFormatting sqref="F7">
    <cfRule type="expression" dxfId="25" priority="13">
      <formula>$B7="A"</formula>
    </cfRule>
    <cfRule type="expression" dxfId="24" priority="14">
      <formula>$B6</formula>
    </cfRule>
  </conditionalFormatting>
  <conditionalFormatting sqref="G7">
    <cfRule type="expression" dxfId="23" priority="11">
      <formula>$B7="A"</formula>
    </cfRule>
    <cfRule type="expression" dxfId="22" priority="12">
      <formula>$B6</formula>
    </cfRule>
  </conditionalFormatting>
  <conditionalFormatting sqref="H7">
    <cfRule type="expression" dxfId="21" priority="9">
      <formula>$B7="A"</formula>
    </cfRule>
    <cfRule type="expression" dxfId="20" priority="10">
      <formula>$B6</formula>
    </cfRule>
  </conditionalFormatting>
  <conditionalFormatting sqref="I7">
    <cfRule type="expression" dxfId="19" priority="7">
      <formula>$B7="A"</formula>
    </cfRule>
    <cfRule type="expression" dxfId="18" priority="8">
      <formula>$B6</formula>
    </cfRule>
  </conditionalFormatting>
  <conditionalFormatting sqref="J7">
    <cfRule type="expression" dxfId="17" priority="5">
      <formula>$B7="A"</formula>
    </cfRule>
    <cfRule type="expression" dxfId="16" priority="6">
      <formula>$B6</formula>
    </cfRule>
  </conditionalFormatting>
  <conditionalFormatting sqref="K7">
    <cfRule type="expression" dxfId="15" priority="3">
      <formula>$B7="A"</formula>
    </cfRule>
    <cfRule type="expression" dxfId="14" priority="4">
      <formula>$B6</formula>
    </cfRule>
  </conditionalFormatting>
  <conditionalFormatting sqref="L7">
    <cfRule type="expression" dxfId="13" priority="1">
      <formula>$B7="A"</formula>
    </cfRule>
    <cfRule type="expression" dxfId="12" priority="2">
      <formula>$B6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1D1AE-551C-497A-B25B-11C0D8571608}">
  <dimension ref="A1:E6"/>
  <sheetViews>
    <sheetView workbookViewId="0">
      <selection activeCell="D18" sqref="D18"/>
    </sheetView>
  </sheetViews>
  <sheetFormatPr defaultRowHeight="14.4" x14ac:dyDescent="0.3"/>
  <cols>
    <col min="4" max="4" width="14.44140625" bestFit="1" customWidth="1"/>
    <col min="5" max="5" width="16.21875" bestFit="1" customWidth="1"/>
  </cols>
  <sheetData>
    <row r="1" spans="1:5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3">
      <c r="A2">
        <v>1</v>
      </c>
      <c r="B2" t="s">
        <v>5</v>
      </c>
      <c r="C2">
        <v>126</v>
      </c>
      <c r="D2">
        <v>9</v>
      </c>
      <c r="E2" t="str">
        <f>IF(AND(C2&gt;=130,D2&gt;=5),"yes","No")</f>
        <v>No</v>
      </c>
    </row>
    <row r="3" spans="1:5" x14ac:dyDescent="0.3">
      <c r="A3">
        <v>2</v>
      </c>
      <c r="B3" t="s">
        <v>6</v>
      </c>
      <c r="C3">
        <v>134</v>
      </c>
      <c r="D3">
        <v>5</v>
      </c>
      <c r="E3" t="str">
        <f t="shared" ref="E3:E6" si="0">IF(AND(C3&gt;=130,D3&gt;=5),"yes","No")</f>
        <v>yes</v>
      </c>
    </row>
    <row r="4" spans="1:5" x14ac:dyDescent="0.3">
      <c r="A4">
        <v>3</v>
      </c>
      <c r="B4" t="s">
        <v>7</v>
      </c>
      <c r="C4">
        <v>234</v>
      </c>
      <c r="D4">
        <v>6</v>
      </c>
      <c r="E4" t="str">
        <f t="shared" si="0"/>
        <v>yes</v>
      </c>
    </row>
    <row r="5" spans="1:5" x14ac:dyDescent="0.3">
      <c r="A5">
        <v>4</v>
      </c>
      <c r="B5" t="s">
        <v>8</v>
      </c>
      <c r="C5">
        <v>213</v>
      </c>
      <c r="D5">
        <v>7</v>
      </c>
      <c r="E5" t="str">
        <f t="shared" si="0"/>
        <v>yes</v>
      </c>
    </row>
    <row r="6" spans="1:5" x14ac:dyDescent="0.3">
      <c r="A6">
        <v>5</v>
      </c>
      <c r="B6" t="s">
        <v>9</v>
      </c>
      <c r="C6">
        <v>242</v>
      </c>
      <c r="D6">
        <v>4</v>
      </c>
      <c r="E6" t="str">
        <f t="shared" si="0"/>
        <v>No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4AECD-C1B4-4D97-8012-52BAD3723B90}">
  <dimension ref="A1:D9"/>
  <sheetViews>
    <sheetView workbookViewId="0">
      <selection activeCell="C5" sqref="A1:D7"/>
    </sheetView>
  </sheetViews>
  <sheetFormatPr defaultRowHeight="14.4" x14ac:dyDescent="0.3"/>
  <cols>
    <col min="3" max="3" width="12.88671875" bestFit="1" customWidth="1"/>
  </cols>
  <sheetData>
    <row r="1" spans="1:4" x14ac:dyDescent="0.3">
      <c r="A1" t="s">
        <v>21</v>
      </c>
      <c r="B1" t="s">
        <v>22</v>
      </c>
      <c r="C1" t="s">
        <v>23</v>
      </c>
      <c r="D1" t="s">
        <v>24</v>
      </c>
    </row>
    <row r="2" spans="1:4" x14ac:dyDescent="0.3">
      <c r="A2">
        <v>1</v>
      </c>
      <c r="B2" t="s">
        <v>25</v>
      </c>
      <c r="C2">
        <v>18</v>
      </c>
      <c r="D2" s="9">
        <f t="shared" ref="D2:D7" si="0">_xlfn.IFS(C2&gt;=10,20%,C2&gt;=5,10%,C2&lt;5,0%)</f>
        <v>0.2</v>
      </c>
    </row>
    <row r="3" spans="1:4" x14ac:dyDescent="0.3">
      <c r="A3">
        <v>2</v>
      </c>
      <c r="B3" t="s">
        <v>26</v>
      </c>
      <c r="C3">
        <v>3</v>
      </c>
      <c r="D3" s="9">
        <f t="shared" si="0"/>
        <v>0</v>
      </c>
    </row>
    <row r="4" spans="1:4" x14ac:dyDescent="0.3">
      <c r="A4">
        <v>3</v>
      </c>
      <c r="B4" t="s">
        <v>27</v>
      </c>
      <c r="C4">
        <v>11</v>
      </c>
      <c r="D4" s="9">
        <f t="shared" si="0"/>
        <v>0.2</v>
      </c>
    </row>
    <row r="5" spans="1:4" x14ac:dyDescent="0.3">
      <c r="A5">
        <v>4</v>
      </c>
      <c r="B5" t="s">
        <v>28</v>
      </c>
      <c r="C5">
        <v>18</v>
      </c>
      <c r="D5" s="9">
        <f t="shared" si="0"/>
        <v>0.2</v>
      </c>
    </row>
    <row r="6" spans="1:4" x14ac:dyDescent="0.3">
      <c r="A6">
        <v>5</v>
      </c>
      <c r="B6" t="s">
        <v>29</v>
      </c>
      <c r="C6">
        <v>7</v>
      </c>
      <c r="D6" s="9">
        <f t="shared" si="0"/>
        <v>0.1</v>
      </c>
    </row>
    <row r="7" spans="1:4" x14ac:dyDescent="0.3">
      <c r="A7">
        <v>6</v>
      </c>
      <c r="B7" t="s">
        <v>30</v>
      </c>
      <c r="C7">
        <v>18</v>
      </c>
      <c r="D7" s="9">
        <f t="shared" si="0"/>
        <v>0.2</v>
      </c>
    </row>
    <row r="8" spans="1:4" x14ac:dyDescent="0.3">
      <c r="D8" s="9"/>
    </row>
    <row r="9" spans="1:4" x14ac:dyDescent="0.3">
      <c r="D9" s="9"/>
    </row>
  </sheetData>
  <conditionalFormatting sqref="D2:D7">
    <cfRule type="cellIs" dxfId="11" priority="13" operator="greaterThan">
      <formula>0.1</formula>
    </cfRule>
  </conditionalFormatting>
  <conditionalFormatting sqref="C2:C7">
    <cfRule type="cellIs" dxfId="10" priority="12" operator="lessThan">
      <formula>10.5</formula>
    </cfRule>
  </conditionalFormatting>
  <conditionalFormatting sqref="B2:B7">
    <cfRule type="containsText" dxfId="9" priority="11" operator="containsText" text="awadhesh">
      <formula>NOT(ISERROR(SEARCH("awadhesh",B2)))</formula>
    </cfRule>
  </conditionalFormatting>
  <conditionalFormatting sqref="B7">
    <cfRule type="containsText" dxfId="8" priority="10" operator="containsText" text="Radha">
      <formula>NOT(ISERROR(SEARCH("Radha",B7)))</formula>
    </cfRule>
  </conditionalFormatting>
  <conditionalFormatting sqref="B8">
    <cfRule type="containsText" dxfId="7" priority="9" operator="containsText" text="awadhesh">
      <formula>NOT(ISERROR(SEARCH("awadhesh",B8)))</formula>
    </cfRule>
  </conditionalFormatting>
  <conditionalFormatting sqref="B8">
    <cfRule type="containsText" dxfId="6" priority="8" operator="containsText" text="Radha">
      <formula>NOT(ISERROR(SEARCH("Radha",B8)))</formula>
    </cfRule>
  </conditionalFormatting>
  <conditionalFormatting sqref="C8">
    <cfRule type="cellIs" dxfId="5" priority="7" operator="lessThan">
      <formula>10.5</formula>
    </cfRule>
  </conditionalFormatting>
  <conditionalFormatting sqref="D8">
    <cfRule type="cellIs" dxfId="4" priority="6" operator="greaterThan">
      <formula>0.1</formula>
    </cfRule>
  </conditionalFormatting>
  <conditionalFormatting sqref="B9">
    <cfRule type="containsText" dxfId="3" priority="5" operator="containsText" text="awadhesh">
      <formula>NOT(ISERROR(SEARCH("awadhesh",B9)))</formula>
    </cfRule>
  </conditionalFormatting>
  <conditionalFormatting sqref="B9">
    <cfRule type="containsText" dxfId="2" priority="4" operator="containsText" text="Radha">
      <formula>NOT(ISERROR(SEARCH("Radha",B9)))</formula>
    </cfRule>
  </conditionalFormatting>
  <conditionalFormatting sqref="C9">
    <cfRule type="cellIs" dxfId="1" priority="3" operator="lessThan">
      <formula>10.5</formula>
    </cfRule>
  </conditionalFormatting>
  <conditionalFormatting sqref="D9">
    <cfRule type="cellIs" dxfId="0" priority="2" operator="greaterThan">
      <formula>0.1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A422C-75E2-45B9-9E4A-D335CDD10711}">
  <dimension ref="A1:D16"/>
  <sheetViews>
    <sheetView workbookViewId="0">
      <selection activeCell="G12" sqref="G12"/>
    </sheetView>
  </sheetViews>
  <sheetFormatPr defaultRowHeight="14.4" x14ac:dyDescent="0.3"/>
  <cols>
    <col min="2" max="2" width="11.44140625" bestFit="1" customWidth="1"/>
  </cols>
  <sheetData>
    <row r="1" spans="1:4" x14ac:dyDescent="0.3">
      <c r="A1" t="s">
        <v>32</v>
      </c>
      <c r="B1" t="s">
        <v>33</v>
      </c>
      <c r="C1" t="s">
        <v>44</v>
      </c>
      <c r="D1" t="s">
        <v>49</v>
      </c>
    </row>
    <row r="2" spans="1:4" x14ac:dyDescent="0.3">
      <c r="A2">
        <v>6</v>
      </c>
      <c r="B2" t="s">
        <v>42</v>
      </c>
      <c r="C2" t="s">
        <v>45</v>
      </c>
      <c r="D2">
        <v>2000</v>
      </c>
    </row>
    <row r="3" spans="1:4" x14ac:dyDescent="0.3">
      <c r="A3">
        <v>8</v>
      </c>
      <c r="B3" t="s">
        <v>34</v>
      </c>
      <c r="C3" t="s">
        <v>46</v>
      </c>
      <c r="D3">
        <v>2000</v>
      </c>
    </row>
    <row r="4" spans="1:4" x14ac:dyDescent="0.3">
      <c r="A4">
        <v>10</v>
      </c>
      <c r="B4" t="s">
        <v>37</v>
      </c>
      <c r="C4" t="s">
        <v>47</v>
      </c>
      <c r="D4">
        <v>22</v>
      </c>
    </row>
    <row r="5" spans="1:4" x14ac:dyDescent="0.3">
      <c r="A5">
        <v>13</v>
      </c>
      <c r="B5" t="s">
        <v>39</v>
      </c>
      <c r="C5" t="s">
        <v>48</v>
      </c>
      <c r="D5">
        <v>4324</v>
      </c>
    </row>
    <row r="6" spans="1:4" x14ac:dyDescent="0.3">
      <c r="A6">
        <v>15</v>
      </c>
      <c r="B6" t="s">
        <v>36</v>
      </c>
    </row>
    <row r="7" spans="1:4" x14ac:dyDescent="0.3">
      <c r="A7">
        <v>9</v>
      </c>
      <c r="B7" t="s">
        <v>34</v>
      </c>
      <c r="C7" t="s">
        <v>45</v>
      </c>
      <c r="D7">
        <v>2000</v>
      </c>
    </row>
    <row r="8" spans="1:4" x14ac:dyDescent="0.3">
      <c r="A8">
        <v>7</v>
      </c>
      <c r="B8" t="s">
        <v>34</v>
      </c>
      <c r="C8" t="s">
        <v>45</v>
      </c>
      <c r="D8">
        <v>3000</v>
      </c>
    </row>
    <row r="9" spans="1:4" x14ac:dyDescent="0.3">
      <c r="A9">
        <v>11</v>
      </c>
      <c r="B9" t="s">
        <v>43</v>
      </c>
      <c r="C9" t="s">
        <v>45</v>
      </c>
      <c r="D9">
        <v>2334</v>
      </c>
    </row>
    <row r="10" spans="1:4" x14ac:dyDescent="0.3">
      <c r="A10">
        <v>12</v>
      </c>
      <c r="B10" t="s">
        <v>41</v>
      </c>
      <c r="C10" t="s">
        <v>47</v>
      </c>
      <c r="D10">
        <v>23231243</v>
      </c>
    </row>
    <row r="11" spans="1:4" x14ac:dyDescent="0.3">
      <c r="A11">
        <v>14</v>
      </c>
      <c r="B11" t="s">
        <v>38</v>
      </c>
      <c r="C11" t="s">
        <v>48</v>
      </c>
      <c r="D11">
        <v>432423</v>
      </c>
    </row>
    <row r="12" spans="1:4" x14ac:dyDescent="0.3">
      <c r="A12">
        <v>17</v>
      </c>
      <c r="B12" t="s">
        <v>35</v>
      </c>
    </row>
    <row r="13" spans="1:4" x14ac:dyDescent="0.3">
      <c r="A13">
        <v>16</v>
      </c>
      <c r="B13" t="s">
        <v>35</v>
      </c>
    </row>
    <row r="14" spans="1:4" x14ac:dyDescent="0.3">
      <c r="A14">
        <v>18</v>
      </c>
      <c r="B14" t="s">
        <v>40</v>
      </c>
    </row>
    <row r="15" spans="1:4" x14ac:dyDescent="0.3">
      <c r="A15">
        <v>20</v>
      </c>
      <c r="B15" t="s">
        <v>8</v>
      </c>
    </row>
    <row r="16" spans="1:4" x14ac:dyDescent="0.3">
      <c r="A16">
        <v>19</v>
      </c>
      <c r="B16" t="s">
        <v>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EADDC-CD65-4789-8A03-BED4724C5D16}">
  <dimension ref="A1:D3"/>
  <sheetViews>
    <sheetView workbookViewId="0">
      <selection activeCell="G11" sqref="G11"/>
    </sheetView>
  </sheetViews>
  <sheetFormatPr defaultRowHeight="14.4" x14ac:dyDescent="0.3"/>
  <sheetData>
    <row r="1" spans="1:4" x14ac:dyDescent="0.3">
      <c r="A1" t="s">
        <v>32</v>
      </c>
      <c r="B1" t="s">
        <v>33</v>
      </c>
      <c r="C1" t="s">
        <v>44</v>
      </c>
      <c r="D1" t="s">
        <v>49</v>
      </c>
    </row>
    <row r="2" spans="1:4" x14ac:dyDescent="0.3">
      <c r="A2">
        <v>6</v>
      </c>
      <c r="B2" t="s">
        <v>42</v>
      </c>
      <c r="C2" t="s">
        <v>45</v>
      </c>
      <c r="D2">
        <v>2000</v>
      </c>
    </row>
    <row r="3" spans="1:4" x14ac:dyDescent="0.3">
      <c r="A3">
        <v>9</v>
      </c>
      <c r="B3" t="s">
        <v>34</v>
      </c>
      <c r="C3" t="s">
        <v>45</v>
      </c>
      <c r="D3">
        <v>2000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1BA7-1E5E-4FEC-B955-7F0CA234C6F0}">
  <dimension ref="A1:Z22"/>
  <sheetViews>
    <sheetView tabSelected="1" topLeftCell="C1" zoomScale="104" zoomScaleNormal="104" workbookViewId="0">
      <selection activeCell="D7" sqref="D7"/>
    </sheetView>
  </sheetViews>
  <sheetFormatPr defaultRowHeight="14.4" x14ac:dyDescent="0.3"/>
  <cols>
    <col min="1" max="1" width="6.109375" bestFit="1" customWidth="1"/>
    <col min="2" max="2" width="15" bestFit="1" customWidth="1"/>
    <col min="3" max="3" width="16.44140625" bestFit="1" customWidth="1"/>
    <col min="4" max="4" width="12" bestFit="1" customWidth="1"/>
    <col min="5" max="5" width="15.88671875" bestFit="1" customWidth="1"/>
    <col min="6" max="7" width="10.77734375" bestFit="1" customWidth="1"/>
    <col min="8" max="8" width="10.33203125" bestFit="1" customWidth="1"/>
    <col min="9" max="9" width="19.33203125" bestFit="1" customWidth="1"/>
    <col min="10" max="10" width="9.5546875" customWidth="1"/>
    <col min="14" max="14" width="15.88671875" bestFit="1" customWidth="1"/>
    <col min="18" max="18" width="12.21875" bestFit="1" customWidth="1"/>
    <col min="19" max="19" width="16.21875" bestFit="1" customWidth="1"/>
    <col min="20" max="21" width="10.88671875" bestFit="1" customWidth="1"/>
    <col min="22" max="22" width="12.109375" bestFit="1" customWidth="1"/>
    <col min="25" max="25" width="6.21875" customWidth="1"/>
  </cols>
  <sheetData>
    <row r="1" spans="1:26" x14ac:dyDescent="0.3">
      <c r="A1" t="s">
        <v>15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49</v>
      </c>
      <c r="K1" t="s">
        <v>81</v>
      </c>
      <c r="L1" t="s">
        <v>82</v>
      </c>
      <c r="O1" t="s">
        <v>15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49</v>
      </c>
      <c r="Y1" t="s">
        <v>81</v>
      </c>
      <c r="Z1" t="s">
        <v>82</v>
      </c>
    </row>
    <row r="2" spans="1:26" x14ac:dyDescent="0.3">
      <c r="A2">
        <v>6</v>
      </c>
      <c r="B2" t="s">
        <v>62</v>
      </c>
      <c r="C2" t="s">
        <v>71</v>
      </c>
      <c r="D2">
        <v>4546212454</v>
      </c>
      <c r="E2" t="s">
        <v>79</v>
      </c>
      <c r="F2" s="10">
        <v>46057</v>
      </c>
      <c r="G2" s="10">
        <v>46139</v>
      </c>
      <c r="H2">
        <v>22</v>
      </c>
      <c r="I2">
        <v>40</v>
      </c>
      <c r="J2">
        <f>H2*500</f>
        <v>11000</v>
      </c>
      <c r="K2">
        <f>I2-H2</f>
        <v>18</v>
      </c>
      <c r="L2">
        <f>IF(H2&gt;35,5000,0)</f>
        <v>0</v>
      </c>
      <c r="O2">
        <v>6</v>
      </c>
      <c r="P2" t="s">
        <v>62</v>
      </c>
      <c r="Q2" t="s">
        <v>71</v>
      </c>
      <c r="R2">
        <v>4546212454</v>
      </c>
      <c r="S2" t="s">
        <v>79</v>
      </c>
      <c r="T2" s="10">
        <v>46057</v>
      </c>
      <c r="U2" s="10">
        <v>46139</v>
      </c>
      <c r="V2">
        <v>22</v>
      </c>
      <c r="W2">
        <v>40</v>
      </c>
      <c r="X2">
        <f>V2*500</f>
        <v>11000</v>
      </c>
      <c r="Y2">
        <f>W2-V2</f>
        <v>18</v>
      </c>
      <c r="Z2">
        <f>IF(V2&gt;35,5000,0)</f>
        <v>0</v>
      </c>
    </row>
    <row r="3" spans="1:26" x14ac:dyDescent="0.3">
      <c r="A3">
        <v>7</v>
      </c>
      <c r="B3" t="s">
        <v>25</v>
      </c>
      <c r="C3" t="s">
        <v>70</v>
      </c>
      <c r="D3">
        <v>7763817656</v>
      </c>
      <c r="E3" t="s">
        <v>79</v>
      </c>
      <c r="F3" s="10">
        <v>46062</v>
      </c>
      <c r="G3" s="10">
        <v>46144</v>
      </c>
      <c r="H3">
        <v>27</v>
      </c>
      <c r="I3">
        <v>40</v>
      </c>
      <c r="J3">
        <f>H3*500</f>
        <v>13500</v>
      </c>
      <c r="K3">
        <f>I3-H3</f>
        <v>13</v>
      </c>
      <c r="L3">
        <f>IF(H3&gt;35,5000,0)</f>
        <v>0</v>
      </c>
      <c r="O3">
        <v>7</v>
      </c>
      <c r="P3" t="s">
        <v>25</v>
      </c>
      <c r="Q3" t="s">
        <v>70</v>
      </c>
      <c r="R3">
        <v>7763817656</v>
      </c>
      <c r="S3" t="s">
        <v>79</v>
      </c>
      <c r="T3" s="10">
        <v>46062</v>
      </c>
      <c r="U3" s="10">
        <v>46144</v>
      </c>
      <c r="V3">
        <v>27</v>
      </c>
      <c r="W3">
        <v>40</v>
      </c>
      <c r="X3">
        <f>V3*500</f>
        <v>13500</v>
      </c>
      <c r="Y3">
        <f>W3-V3</f>
        <v>13</v>
      </c>
      <c r="Z3">
        <f>IF(V3&gt;35,5000,0)</f>
        <v>0</v>
      </c>
    </row>
    <row r="4" spans="1:26" x14ac:dyDescent="0.3">
      <c r="A4">
        <v>9</v>
      </c>
      <c r="B4" t="s">
        <v>64</v>
      </c>
      <c r="C4" t="s">
        <v>71</v>
      </c>
      <c r="D4">
        <v>4564541231</v>
      </c>
      <c r="E4" t="s">
        <v>79</v>
      </c>
      <c r="F4" s="10">
        <v>46064</v>
      </c>
      <c r="G4" s="10">
        <v>46146</v>
      </c>
      <c r="H4">
        <v>29</v>
      </c>
      <c r="I4">
        <v>40</v>
      </c>
      <c r="J4">
        <f>H4*500</f>
        <v>14500</v>
      </c>
      <c r="K4">
        <f>I4-H4</f>
        <v>11</v>
      </c>
      <c r="L4">
        <f>IF(H4&gt;35,5000,0)</f>
        <v>0</v>
      </c>
      <c r="O4">
        <v>9</v>
      </c>
      <c r="P4" t="s">
        <v>64</v>
      </c>
      <c r="Q4" t="s">
        <v>71</v>
      </c>
      <c r="R4">
        <v>4564541231</v>
      </c>
      <c r="S4" t="s">
        <v>79</v>
      </c>
      <c r="T4" s="10">
        <v>46064</v>
      </c>
      <c r="U4" s="10">
        <v>46146</v>
      </c>
      <c r="V4">
        <v>29</v>
      </c>
      <c r="W4">
        <v>40</v>
      </c>
      <c r="X4">
        <f>V4*500</f>
        <v>14500</v>
      </c>
      <c r="Y4">
        <f>W4-V4</f>
        <v>11</v>
      </c>
      <c r="Z4">
        <f>IF(V4&gt;35,5000,0)</f>
        <v>0</v>
      </c>
    </row>
    <row r="5" spans="1:26" x14ac:dyDescent="0.3">
      <c r="A5">
        <v>10</v>
      </c>
      <c r="B5" t="s">
        <v>29</v>
      </c>
      <c r="C5" t="s">
        <v>72</v>
      </c>
      <c r="D5">
        <v>545454544</v>
      </c>
      <c r="E5" t="s">
        <v>79</v>
      </c>
      <c r="F5" s="10">
        <v>46058</v>
      </c>
      <c r="G5" s="10">
        <v>46140</v>
      </c>
      <c r="H5">
        <v>23</v>
      </c>
      <c r="I5">
        <v>40</v>
      </c>
      <c r="J5">
        <f>H5*500</f>
        <v>11500</v>
      </c>
      <c r="K5">
        <f>I5-H5</f>
        <v>17</v>
      </c>
      <c r="L5">
        <f>IF(H5&gt;35,5000,0)</f>
        <v>0</v>
      </c>
      <c r="O5">
        <v>10</v>
      </c>
      <c r="P5" t="s">
        <v>29</v>
      </c>
      <c r="Q5" t="s">
        <v>72</v>
      </c>
      <c r="R5">
        <v>545454544</v>
      </c>
      <c r="S5" t="s">
        <v>79</v>
      </c>
      <c r="T5" s="10">
        <v>46058</v>
      </c>
      <c r="U5" s="10">
        <v>46140</v>
      </c>
      <c r="V5">
        <v>23</v>
      </c>
      <c r="W5">
        <v>40</v>
      </c>
      <c r="X5">
        <f>V5*500</f>
        <v>11500</v>
      </c>
      <c r="Y5">
        <f>W5-V5</f>
        <v>17</v>
      </c>
      <c r="Z5">
        <f>IF(V5&gt;35,5000,0)</f>
        <v>0</v>
      </c>
    </row>
    <row r="6" spans="1:26" x14ac:dyDescent="0.3">
      <c r="A6">
        <v>4</v>
      </c>
      <c r="B6" t="s">
        <v>60</v>
      </c>
      <c r="C6" t="s">
        <v>69</v>
      </c>
      <c r="D6">
        <v>9955172172</v>
      </c>
      <c r="E6" t="s">
        <v>78</v>
      </c>
      <c r="F6" s="10">
        <v>46055</v>
      </c>
      <c r="G6" s="10">
        <v>46137</v>
      </c>
      <c r="H6">
        <v>20</v>
      </c>
      <c r="I6">
        <v>40</v>
      </c>
      <c r="J6">
        <f>H6*500</f>
        <v>10000</v>
      </c>
      <c r="K6">
        <f>I6-H6</f>
        <v>20</v>
      </c>
      <c r="L6">
        <f>IF(H6&gt;35,5000,0)</f>
        <v>0</v>
      </c>
      <c r="O6">
        <v>4</v>
      </c>
      <c r="P6" t="s">
        <v>60</v>
      </c>
      <c r="Q6" t="s">
        <v>69</v>
      </c>
      <c r="R6">
        <v>9955172172</v>
      </c>
      <c r="S6" t="s">
        <v>78</v>
      </c>
      <c r="T6" s="10">
        <v>46055</v>
      </c>
      <c r="U6" s="10">
        <v>46137</v>
      </c>
      <c r="V6">
        <v>20</v>
      </c>
      <c r="W6">
        <v>40</v>
      </c>
      <c r="X6">
        <f>V6*500</f>
        <v>10000</v>
      </c>
      <c r="Y6">
        <f>W6-V6</f>
        <v>20</v>
      </c>
      <c r="Z6">
        <f>IF(V6&gt;35,5000,0)</f>
        <v>0</v>
      </c>
    </row>
    <row r="7" spans="1:26" x14ac:dyDescent="0.3">
      <c r="A7">
        <v>15</v>
      </c>
      <c r="B7" t="s">
        <v>76</v>
      </c>
      <c r="C7" t="s">
        <v>77</v>
      </c>
      <c r="D7">
        <v>454562154</v>
      </c>
      <c r="E7" t="s">
        <v>78</v>
      </c>
      <c r="F7" s="10">
        <v>46061</v>
      </c>
      <c r="G7" s="10">
        <v>46143</v>
      </c>
      <c r="H7">
        <v>26</v>
      </c>
      <c r="I7">
        <v>40</v>
      </c>
      <c r="J7">
        <f>H7*500</f>
        <v>13000</v>
      </c>
      <c r="K7">
        <f>I7-H7</f>
        <v>14</v>
      </c>
      <c r="L7">
        <f>IF(H7&gt;35,5000,0)</f>
        <v>0</v>
      </c>
      <c r="O7">
        <v>15</v>
      </c>
      <c r="P7" t="s">
        <v>76</v>
      </c>
      <c r="Q7" t="s">
        <v>77</v>
      </c>
      <c r="R7">
        <v>454562154</v>
      </c>
      <c r="S7" t="s">
        <v>78</v>
      </c>
      <c r="T7" s="10">
        <v>46061</v>
      </c>
      <c r="U7" s="10">
        <v>46143</v>
      </c>
      <c r="V7">
        <v>26</v>
      </c>
      <c r="W7">
        <v>40</v>
      </c>
      <c r="X7">
        <f>V7*500</f>
        <v>13000</v>
      </c>
      <c r="Y7">
        <f>W7-V7</f>
        <v>14</v>
      </c>
      <c r="Z7">
        <f>IF(V7&gt;35,5000,0)</f>
        <v>0</v>
      </c>
    </row>
    <row r="8" spans="1:26" x14ac:dyDescent="0.3">
      <c r="A8">
        <v>8</v>
      </c>
      <c r="B8" t="s">
        <v>63</v>
      </c>
      <c r="C8" t="s">
        <v>71</v>
      </c>
      <c r="D8">
        <v>9934775810</v>
      </c>
      <c r="E8" t="s">
        <v>80</v>
      </c>
      <c r="F8" s="10">
        <v>46063</v>
      </c>
      <c r="G8" s="10">
        <v>46145</v>
      </c>
      <c r="H8">
        <v>28</v>
      </c>
      <c r="I8">
        <v>40</v>
      </c>
      <c r="J8">
        <f>H8*500</f>
        <v>14000</v>
      </c>
      <c r="K8">
        <f>I8-H8</f>
        <v>12</v>
      </c>
      <c r="L8">
        <f>IF(H8&gt;35,5000,0)</f>
        <v>0</v>
      </c>
      <c r="O8">
        <v>8</v>
      </c>
      <c r="P8" t="s">
        <v>63</v>
      </c>
      <c r="Q8" t="s">
        <v>71</v>
      </c>
      <c r="R8">
        <v>9934775810</v>
      </c>
      <c r="S8" t="s">
        <v>80</v>
      </c>
      <c r="T8" s="10">
        <v>46063</v>
      </c>
      <c r="U8" s="10">
        <v>46145</v>
      </c>
      <c r="V8">
        <v>28</v>
      </c>
      <c r="W8">
        <v>40</v>
      </c>
      <c r="X8">
        <f>V8*500</f>
        <v>14000</v>
      </c>
      <c r="Y8">
        <f>W8-V8</f>
        <v>12</v>
      </c>
      <c r="Z8">
        <f>IF(V8&gt;35,5000,0)</f>
        <v>0</v>
      </c>
    </row>
    <row r="9" spans="1:26" x14ac:dyDescent="0.3">
      <c r="A9">
        <v>11</v>
      </c>
      <c r="B9" t="s">
        <v>65</v>
      </c>
      <c r="C9" t="s">
        <v>73</v>
      </c>
      <c r="D9">
        <v>54545454545</v>
      </c>
      <c r="E9" t="s">
        <v>80</v>
      </c>
      <c r="F9" s="10">
        <v>46059</v>
      </c>
      <c r="G9" s="10">
        <v>46141</v>
      </c>
      <c r="H9">
        <v>24</v>
      </c>
      <c r="I9">
        <v>40</v>
      </c>
      <c r="J9">
        <f>H9*500</f>
        <v>12000</v>
      </c>
      <c r="K9">
        <f>I9-H9</f>
        <v>16</v>
      </c>
      <c r="L9">
        <f>IF(H9&gt;35,5000,0)</f>
        <v>0</v>
      </c>
      <c r="O9">
        <v>11</v>
      </c>
      <c r="P9" t="s">
        <v>65</v>
      </c>
      <c r="Q9" t="s">
        <v>73</v>
      </c>
      <c r="R9">
        <v>54545454545</v>
      </c>
      <c r="S9" t="s">
        <v>80</v>
      </c>
      <c r="T9" s="10">
        <v>46059</v>
      </c>
      <c r="U9" s="10">
        <v>46141</v>
      </c>
      <c r="V9">
        <v>24</v>
      </c>
      <c r="W9">
        <v>40</v>
      </c>
      <c r="X9">
        <f>V9*500</f>
        <v>12000</v>
      </c>
      <c r="Y9">
        <f>W9-V9</f>
        <v>16</v>
      </c>
      <c r="Z9">
        <f>IF(V9&gt;35,5000,0)</f>
        <v>0</v>
      </c>
    </row>
    <row r="10" spans="1:26" x14ac:dyDescent="0.3">
      <c r="A10">
        <v>14</v>
      </c>
      <c r="B10" t="s">
        <v>68</v>
      </c>
      <c r="C10" t="s">
        <v>71</v>
      </c>
      <c r="D10">
        <v>7989776846</v>
      </c>
      <c r="E10" t="s">
        <v>80</v>
      </c>
      <c r="F10" s="10">
        <v>46066</v>
      </c>
      <c r="G10" s="10">
        <v>46148</v>
      </c>
      <c r="H10">
        <v>31</v>
      </c>
      <c r="I10">
        <v>40</v>
      </c>
      <c r="J10">
        <f>H10*500</f>
        <v>15500</v>
      </c>
      <c r="K10">
        <f>I10-H10</f>
        <v>9</v>
      </c>
      <c r="L10">
        <f>IF(H10&gt;35,5000,0)</f>
        <v>0</v>
      </c>
      <c r="O10">
        <v>14</v>
      </c>
      <c r="P10" t="s">
        <v>68</v>
      </c>
      <c r="Q10" t="s">
        <v>71</v>
      </c>
      <c r="R10">
        <v>7989776846</v>
      </c>
      <c r="S10" t="s">
        <v>80</v>
      </c>
      <c r="T10" s="10">
        <v>46066</v>
      </c>
      <c r="U10" s="10">
        <v>46148</v>
      </c>
      <c r="V10">
        <v>31</v>
      </c>
      <c r="W10">
        <v>40</v>
      </c>
      <c r="X10">
        <f>V10*500</f>
        <v>15500</v>
      </c>
      <c r="Y10">
        <f>W10-V10</f>
        <v>9</v>
      </c>
      <c r="Z10">
        <f>IF(V10&gt;35,5000,0)</f>
        <v>0</v>
      </c>
    </row>
    <row r="11" spans="1:26" x14ac:dyDescent="0.3">
      <c r="A11">
        <v>1</v>
      </c>
      <c r="B11" t="s">
        <v>28</v>
      </c>
      <c r="C11" t="s">
        <v>69</v>
      </c>
      <c r="D11">
        <v>8210089387</v>
      </c>
      <c r="E11" t="s">
        <v>75</v>
      </c>
      <c r="F11" s="10">
        <v>46054</v>
      </c>
      <c r="G11" s="10">
        <v>46139</v>
      </c>
      <c r="H11">
        <v>40</v>
      </c>
      <c r="I11">
        <v>40</v>
      </c>
      <c r="J11">
        <f>H11*500</f>
        <v>20000</v>
      </c>
      <c r="K11">
        <f>I11-H11</f>
        <v>0</v>
      </c>
      <c r="L11">
        <f>IF(H11&gt;35,5000,0)</f>
        <v>5000</v>
      </c>
      <c r="O11">
        <v>1</v>
      </c>
      <c r="P11" t="s">
        <v>28</v>
      </c>
      <c r="Q11" t="s">
        <v>69</v>
      </c>
      <c r="R11">
        <v>8210089387</v>
      </c>
      <c r="S11" t="s">
        <v>75</v>
      </c>
      <c r="T11" s="10">
        <v>46054</v>
      </c>
      <c r="U11" s="10">
        <v>46139</v>
      </c>
      <c r="V11">
        <v>40</v>
      </c>
      <c r="W11">
        <v>40</v>
      </c>
      <c r="X11">
        <f>V11*500</f>
        <v>20000</v>
      </c>
      <c r="Y11">
        <f>W11-V11</f>
        <v>0</v>
      </c>
      <c r="Z11">
        <f>IF(V11&gt;35,5000,0)</f>
        <v>5000</v>
      </c>
    </row>
    <row r="12" spans="1:26" x14ac:dyDescent="0.3">
      <c r="A12">
        <v>2</v>
      </c>
      <c r="B12" t="s">
        <v>30</v>
      </c>
      <c r="C12" t="s">
        <v>69</v>
      </c>
      <c r="D12">
        <v>8413822231</v>
      </c>
      <c r="E12" t="s">
        <v>75</v>
      </c>
      <c r="F12" s="10">
        <v>46054</v>
      </c>
      <c r="G12" s="10">
        <v>46139</v>
      </c>
      <c r="H12">
        <v>39</v>
      </c>
      <c r="I12">
        <v>40</v>
      </c>
      <c r="J12">
        <f>H12*500</f>
        <v>19500</v>
      </c>
      <c r="K12">
        <f>I12-H12</f>
        <v>1</v>
      </c>
      <c r="L12">
        <f>IF(H12&gt;35,5000,0)</f>
        <v>5000</v>
      </c>
      <c r="O12">
        <v>2</v>
      </c>
      <c r="P12" t="s">
        <v>30</v>
      </c>
      <c r="Q12" t="s">
        <v>69</v>
      </c>
      <c r="R12">
        <v>8413822231</v>
      </c>
      <c r="S12" t="s">
        <v>75</v>
      </c>
      <c r="T12" s="10">
        <v>46054</v>
      </c>
      <c r="U12" s="10">
        <v>46139</v>
      </c>
      <c r="V12">
        <v>39</v>
      </c>
      <c r="W12">
        <v>40</v>
      </c>
      <c r="X12">
        <f>V12*500</f>
        <v>19500</v>
      </c>
      <c r="Y12">
        <f>W12-V12</f>
        <v>1</v>
      </c>
      <c r="Z12">
        <f>IF(V12&gt;35,5000,0)</f>
        <v>5000</v>
      </c>
    </row>
    <row r="13" spans="1:26" x14ac:dyDescent="0.3">
      <c r="A13">
        <v>3</v>
      </c>
      <c r="B13" t="s">
        <v>61</v>
      </c>
      <c r="C13" t="s">
        <v>69</v>
      </c>
      <c r="D13">
        <v>8413889387</v>
      </c>
      <c r="E13" t="s">
        <v>75</v>
      </c>
      <c r="F13" s="10">
        <v>46054</v>
      </c>
      <c r="G13" s="10">
        <v>46139</v>
      </c>
      <c r="H13">
        <v>39</v>
      </c>
      <c r="I13">
        <v>40</v>
      </c>
      <c r="J13">
        <f>H13*500</f>
        <v>19500</v>
      </c>
      <c r="K13">
        <f>I13-H13</f>
        <v>1</v>
      </c>
      <c r="L13">
        <f>IF(H13&gt;35,5000,0)</f>
        <v>5000</v>
      </c>
      <c r="O13">
        <v>3</v>
      </c>
      <c r="P13" t="s">
        <v>61</v>
      </c>
      <c r="Q13" t="s">
        <v>69</v>
      </c>
      <c r="R13">
        <v>8413889387</v>
      </c>
      <c r="S13" t="s">
        <v>75</v>
      </c>
      <c r="T13" s="10">
        <v>46054</v>
      </c>
      <c r="U13" s="10">
        <v>46139</v>
      </c>
      <c r="V13">
        <v>39</v>
      </c>
      <c r="W13">
        <v>40</v>
      </c>
      <c r="X13">
        <f>V13*500</f>
        <v>19500</v>
      </c>
      <c r="Y13">
        <f>W13-V13</f>
        <v>1</v>
      </c>
      <c r="Z13">
        <f>IF(V13&gt;35,5000,0)</f>
        <v>5000</v>
      </c>
    </row>
    <row r="14" spans="1:26" x14ac:dyDescent="0.3">
      <c r="A14">
        <v>5</v>
      </c>
      <c r="B14" t="s">
        <v>27</v>
      </c>
      <c r="C14" t="s">
        <v>70</v>
      </c>
      <c r="D14">
        <v>9546646608</v>
      </c>
      <c r="E14" t="s">
        <v>75</v>
      </c>
      <c r="F14" s="10">
        <v>46056</v>
      </c>
      <c r="G14" s="10">
        <v>46138</v>
      </c>
      <c r="H14">
        <v>21</v>
      </c>
      <c r="I14">
        <v>40</v>
      </c>
      <c r="J14">
        <f>H14*500</f>
        <v>10500</v>
      </c>
      <c r="K14">
        <f>I14-H14</f>
        <v>19</v>
      </c>
      <c r="L14">
        <f>IF(H14&gt;35,5000,0)</f>
        <v>0</v>
      </c>
      <c r="O14">
        <v>5</v>
      </c>
      <c r="P14" t="s">
        <v>27</v>
      </c>
      <c r="Q14" t="s">
        <v>70</v>
      </c>
      <c r="R14">
        <v>9546646608</v>
      </c>
      <c r="S14" t="s">
        <v>75</v>
      </c>
      <c r="T14" s="10">
        <v>46056</v>
      </c>
      <c r="U14" s="10">
        <v>46138</v>
      </c>
      <c r="V14">
        <v>21</v>
      </c>
      <c r="W14">
        <v>40</v>
      </c>
      <c r="X14">
        <f>V14*500</f>
        <v>10500</v>
      </c>
      <c r="Y14">
        <f>W14-V14</f>
        <v>19</v>
      </c>
      <c r="Z14">
        <f>IF(V14&gt;35,5000,0)</f>
        <v>0</v>
      </c>
    </row>
    <row r="15" spans="1:26" x14ac:dyDescent="0.3">
      <c r="A15">
        <v>12</v>
      </c>
      <c r="B15" t="s">
        <v>66</v>
      </c>
      <c r="C15" t="s">
        <v>74</v>
      </c>
      <c r="D15">
        <v>545644232323</v>
      </c>
      <c r="E15" t="s">
        <v>75</v>
      </c>
      <c r="F15" s="10">
        <v>46060</v>
      </c>
      <c r="G15" s="10">
        <v>46142</v>
      </c>
      <c r="H15">
        <v>25</v>
      </c>
      <c r="I15">
        <v>40</v>
      </c>
      <c r="J15">
        <f>H15*500</f>
        <v>12500</v>
      </c>
      <c r="K15">
        <f>I15-H15</f>
        <v>15</v>
      </c>
      <c r="L15">
        <f>IF(H15&gt;35,5000,0)</f>
        <v>0</v>
      </c>
      <c r="O15">
        <v>12</v>
      </c>
      <c r="P15" t="s">
        <v>66</v>
      </c>
      <c r="Q15" t="s">
        <v>74</v>
      </c>
      <c r="R15">
        <v>545644232323</v>
      </c>
      <c r="S15" t="s">
        <v>75</v>
      </c>
      <c r="T15" s="10">
        <v>46060</v>
      </c>
      <c r="U15" s="10">
        <v>46142</v>
      </c>
      <c r="V15">
        <v>25</v>
      </c>
      <c r="W15">
        <v>40</v>
      </c>
      <c r="X15">
        <f>V15*500</f>
        <v>12500</v>
      </c>
      <c r="Y15">
        <f>W15-V15</f>
        <v>15</v>
      </c>
      <c r="Z15">
        <f>IF(V15&gt;35,5000,0)</f>
        <v>0</v>
      </c>
    </row>
    <row r="16" spans="1:26" x14ac:dyDescent="0.3">
      <c r="A16">
        <v>13</v>
      </c>
      <c r="B16" t="s">
        <v>67</v>
      </c>
      <c r="C16" t="s">
        <v>71</v>
      </c>
      <c r="D16">
        <v>78985687459</v>
      </c>
      <c r="E16" t="s">
        <v>75</v>
      </c>
      <c r="F16" s="10">
        <v>46065</v>
      </c>
      <c r="G16" s="10">
        <v>46147</v>
      </c>
      <c r="H16">
        <v>30</v>
      </c>
      <c r="I16">
        <v>40</v>
      </c>
      <c r="J16">
        <f>H16*500</f>
        <v>15000</v>
      </c>
      <c r="K16">
        <f>I16-H16</f>
        <v>10</v>
      </c>
      <c r="L16">
        <f>IF(H16&gt;35,5000,0)</f>
        <v>0</v>
      </c>
      <c r="O16">
        <v>13</v>
      </c>
      <c r="P16" t="s">
        <v>67</v>
      </c>
      <c r="Q16" t="s">
        <v>71</v>
      </c>
      <c r="R16">
        <v>8787987894</v>
      </c>
      <c r="S16" t="s">
        <v>75</v>
      </c>
      <c r="T16" s="10">
        <v>46065</v>
      </c>
      <c r="U16" s="10">
        <v>46147</v>
      </c>
      <c r="V16">
        <v>30</v>
      </c>
      <c r="W16">
        <v>40</v>
      </c>
      <c r="X16">
        <f>V16*500</f>
        <v>15000</v>
      </c>
      <c r="Y16">
        <f>W16-V16</f>
        <v>10</v>
      </c>
      <c r="Z16">
        <f>IF(V16&gt;35,5000,0)</f>
        <v>0</v>
      </c>
    </row>
    <row r="22" spans="5:5" x14ac:dyDescent="0.3">
      <c r="E22" t="s">
        <v>31</v>
      </c>
    </row>
  </sheetData>
  <sortState ref="A2:L15">
    <sortCondition ref="E2"/>
  </sortState>
  <dataValidations count="2">
    <dataValidation type="list" allowBlank="1" showInputMessage="1" showErrorMessage="1" sqref="E5:E16 S5:S16" xr:uid="{0DF0EA4C-361B-43D7-A7D0-E5D782C2F48A}">
      <formula1>"data engineer,software engineer,data analyst,full stack"</formula1>
    </dataValidation>
    <dataValidation type="textLength" allowBlank="1" showInputMessage="1" showErrorMessage="1" errorTitle="wrong contact number" error="Enter 10 digit mob number" sqref="R1:R16" xr:uid="{3386467A-4604-4214-AEB9-DD4FA9BE7363}">
      <formula1>10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Sheet5!Extract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2026-08-24T18:51:42Z</dcterms:created>
  <dcterms:modified xsi:type="dcterms:W3CDTF">2026-09-01T17:20:31Z</dcterms:modified>
</cp:coreProperties>
</file>